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EBCC656D-AD47-4EB2-8AA4-6BCCAC9FC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ipt Grading" sheetId="4" r:id="rId1"/>
    <sheet name="TOP 5 individual grading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8" i="5" l="1"/>
  <c r="J57" i="5"/>
  <c r="J56" i="5"/>
  <c r="J55" i="5"/>
  <c r="J54" i="5"/>
  <c r="J42" i="5"/>
  <c r="J41" i="5"/>
  <c r="J40" i="5"/>
  <c r="J39" i="5"/>
  <c r="J38" i="5"/>
  <c r="J33" i="5"/>
  <c r="J32" i="5"/>
  <c r="J31" i="5"/>
  <c r="J30" i="5"/>
  <c r="J29" i="5"/>
  <c r="J28" i="5"/>
  <c r="J27" i="5"/>
  <c r="J22" i="5"/>
  <c r="J21" i="5"/>
  <c r="J20" i="5"/>
  <c r="J19" i="5"/>
  <c r="M17" i="4"/>
  <c r="M28" i="4"/>
  <c r="M22" i="4"/>
  <c r="M25" i="4"/>
  <c r="M12" i="4"/>
  <c r="M10" i="4"/>
  <c r="M9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21" i="4"/>
  <c r="M20" i="4"/>
  <c r="M24" i="4"/>
  <c r="M26" i="4"/>
  <c r="M18" i="4"/>
  <c r="M29" i="4"/>
  <c r="M19" i="4"/>
  <c r="M23" i="4"/>
  <c r="M27" i="4"/>
  <c r="I9" i="4"/>
  <c r="G51" i="4" l="1"/>
  <c r="G50" i="4"/>
  <c r="G49" i="4"/>
  <c r="G48" i="4"/>
  <c r="I48" i="4" s="1"/>
  <c r="G47" i="4"/>
  <c r="G46" i="4"/>
  <c r="G45" i="4"/>
  <c r="I45" i="4" s="1"/>
  <c r="G6" i="4"/>
  <c r="I6" i="4" s="1"/>
  <c r="G5" i="4"/>
  <c r="G17" i="4"/>
  <c r="I17" i="4" s="1"/>
  <c r="G11" i="4"/>
  <c r="G27" i="4"/>
  <c r="I27" i="4" s="1"/>
  <c r="G23" i="4"/>
  <c r="I23" i="4" s="1"/>
  <c r="G28" i="4"/>
  <c r="I28" i="4" s="1"/>
  <c r="G7" i="4"/>
  <c r="G10" i="4"/>
  <c r="I10" i="4" s="1"/>
  <c r="G8" i="4"/>
  <c r="G26" i="4"/>
  <c r="I26" i="4" s="1"/>
  <c r="G24" i="4"/>
  <c r="E42" i="4"/>
</calcChain>
</file>

<file path=xl/sharedStrings.xml><?xml version="1.0" encoding="utf-8"?>
<sst xmlns="http://schemas.openxmlformats.org/spreadsheetml/2006/main" count="641" uniqueCount="227">
  <si>
    <r>
      <rPr>
        <b/>
        <sz val="26"/>
        <color theme="1"/>
        <rFont val="Calibri"/>
        <family val="2"/>
        <scheme val="minor"/>
      </rPr>
      <t>SCRIPTS STATUS PROGRESS</t>
    </r>
    <r>
      <rPr>
        <sz val="26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(As on 23-July-2025)</t>
    </r>
  </si>
  <si>
    <t>08 PM SLOT</t>
  </si>
  <si>
    <t>Sr. #</t>
  </si>
  <si>
    <t>Title</t>
  </si>
  <si>
    <t>Writer</t>
  </si>
  <si>
    <t>Director</t>
  </si>
  <si>
    <t>Total 
Episodes</t>
  </si>
  <si>
    <t>Received 
Episodes</t>
  </si>
  <si>
    <t>Script Completion
 (20-June)</t>
  </si>
  <si>
    <t>Script Completion
(23-July)</t>
  </si>
  <si>
    <t xml:space="preserve">Script Completion
Progress % 
</t>
  </si>
  <si>
    <t>Nadeem</t>
  </si>
  <si>
    <t>Salman</t>
  </si>
  <si>
    <t>Imran</t>
  </si>
  <si>
    <t>Final Average Score</t>
  </si>
  <si>
    <t>Status 
(20th June)</t>
  </si>
  <si>
    <t>Status 
(23rd July)</t>
  </si>
  <si>
    <t>Rabta</t>
  </si>
  <si>
    <t>Saqlain Abbas</t>
  </si>
  <si>
    <t>-</t>
  </si>
  <si>
    <t>NA</t>
  </si>
  <si>
    <t>N/A</t>
  </si>
  <si>
    <t>In Writing</t>
  </si>
  <si>
    <t>Deal</t>
  </si>
  <si>
    <t>Zanjabeel Asim Shah</t>
  </si>
  <si>
    <t>Khuda aur Muhabbat 4</t>
  </si>
  <si>
    <t>Hashim Nadeem</t>
  </si>
  <si>
    <t>Production Planning - In Writing - Feedback need to discuss</t>
  </si>
  <si>
    <t>Baazi</t>
  </si>
  <si>
    <t>Umera Ahmed</t>
  </si>
  <si>
    <t>Production Planning - In Writing</t>
  </si>
  <si>
    <t>Muhafiz</t>
  </si>
  <si>
    <t>Sadia Akhtar</t>
  </si>
  <si>
    <t>Ali Faizan</t>
  </si>
  <si>
    <t>Pre Production - In Editing</t>
  </si>
  <si>
    <t>Sara Aapi</t>
  </si>
  <si>
    <t>Saqlain Abbas Team</t>
  </si>
  <si>
    <t>Asad Jabal</t>
  </si>
  <si>
    <t>Pre-Production - In Writing</t>
  </si>
  <si>
    <t>Kafir Dil/Sangdil</t>
  </si>
  <si>
    <t>Adeel Razzaq</t>
  </si>
  <si>
    <t>Zabt</t>
  </si>
  <si>
    <t>Saima Akram Chaudhry</t>
  </si>
  <si>
    <t>Pre-Production</t>
  </si>
  <si>
    <t>Dushmani/Wirasat</t>
  </si>
  <si>
    <t>Sameera Fazal</t>
  </si>
  <si>
    <t>Contract done - Story Under Discussion/Development</t>
  </si>
  <si>
    <t>Khaie 2</t>
  </si>
  <si>
    <t>Story Under Discussion/Development</t>
  </si>
  <si>
    <t>Mannat Murad(2)</t>
  </si>
  <si>
    <t>Nadia Akhtar</t>
  </si>
  <si>
    <t>Tu ne Deewana Banaya</t>
  </si>
  <si>
    <t>Maha Malik</t>
  </si>
  <si>
    <t>Jung-e-Ishq</t>
  </si>
  <si>
    <t>Imran Ashraf</t>
  </si>
  <si>
    <t>Gawahi</t>
  </si>
  <si>
    <t>Madiha Shahid/Wajiha Sahar</t>
  </si>
  <si>
    <t>Script completed</t>
  </si>
  <si>
    <t>Agar Tum Sath Ho/Jub Tum Sath Thay</t>
  </si>
  <si>
    <t>Milkiyat</t>
  </si>
  <si>
    <t>Erum Wasi Saima Wasi</t>
  </si>
  <si>
    <t>Production Planning</t>
  </si>
  <si>
    <t>Ishq Akhri Hai Tu</t>
  </si>
  <si>
    <t>Jogan</t>
  </si>
  <si>
    <t>Seema Munaf</t>
  </si>
  <si>
    <t>Need to be Re-Edit</t>
  </si>
  <si>
    <t>Ab Kiya Karein</t>
  </si>
  <si>
    <t>Syed Ali Moeen</t>
  </si>
  <si>
    <t>Shehdaie/Tere Bin 2</t>
  </si>
  <si>
    <t>Mohabbat Ishq Iman</t>
  </si>
  <si>
    <t>Qaisra Hayat</t>
  </si>
  <si>
    <t>Karwahat/Tujhay Isqh Ho Khuda Karay</t>
  </si>
  <si>
    <t>Production Planning - In Editing</t>
  </si>
  <si>
    <t>Tapish</t>
  </si>
  <si>
    <t>Rehana Aftab</t>
  </si>
  <si>
    <t>Kahani Ek Muhabbat Ke</t>
  </si>
  <si>
    <t>Samina Ejaz</t>
  </si>
  <si>
    <t>Shikayat</t>
  </si>
  <si>
    <t>Rukhsana Nigar</t>
  </si>
  <si>
    <t>On-air Drama - 03</t>
  </si>
  <si>
    <t>Production Planning - 06</t>
  </si>
  <si>
    <t>Story Discussed &amp; Approved - 00</t>
  </si>
  <si>
    <t>Project on Shoot - 04</t>
  </si>
  <si>
    <t>Script completed not on shoot - 04</t>
  </si>
  <si>
    <t>Story Under Discussion/
Development - 04</t>
  </si>
  <si>
    <t>Pre-Production - 03</t>
  </si>
  <si>
    <t>In Writing/Editing - 08</t>
  </si>
  <si>
    <t>07/09 PM SLOT</t>
  </si>
  <si>
    <t>Script Completion
Percentage
 (20-June)</t>
  </si>
  <si>
    <t>Script Completion
Percentage 
(23-July)</t>
  </si>
  <si>
    <t xml:space="preserve">Script Completion
Progress Percentage 
</t>
  </si>
  <si>
    <t xml:space="preserve">Soure A: Score out of 10 </t>
  </si>
  <si>
    <t xml:space="preserve">Soure B: Score out of 10 </t>
  </si>
  <si>
    <t xml:space="preserve">Soure C: Score out of 10 </t>
  </si>
  <si>
    <t>Status
(20th July)</t>
  </si>
  <si>
    <t>Status Change
(23rd July)</t>
  </si>
  <si>
    <t>Iblees</t>
  </si>
  <si>
    <t>Hina Huma Nafees</t>
  </si>
  <si>
    <t>Saleem Ghanchi</t>
  </si>
  <si>
    <t>In Pre-Production</t>
  </si>
  <si>
    <t>Project is on Shoot</t>
  </si>
  <si>
    <t xml:space="preserve">Jurm e Wafa </t>
  </si>
  <si>
    <t xml:space="preserve">Naila Zehra Jafri   </t>
  </si>
  <si>
    <t>Promax Media</t>
  </si>
  <si>
    <t>In Pre-Production - Outsoure</t>
  </si>
  <si>
    <t>Yar-e-Man/Betaab</t>
  </si>
  <si>
    <t xml:space="preserve">Sidra Sehar Imran </t>
  </si>
  <si>
    <t>100 (20 minutes)</t>
  </si>
  <si>
    <t>Shatranj</t>
  </si>
  <si>
    <t>Jhansa</t>
  </si>
  <si>
    <t>Imran Syfer (5-50 Eps)/
Syed Ali Moeen (1-4 Eps)</t>
  </si>
  <si>
    <t>Banjaran</t>
  </si>
  <si>
    <t>Laut Aao Na</t>
  </si>
  <si>
    <t>Rahat Jabeen</t>
  </si>
  <si>
    <t>Nadan</t>
  </si>
  <si>
    <t>Samra Bukhari</t>
  </si>
  <si>
    <t>In Writing &amp; Editing</t>
  </si>
  <si>
    <t>Sarmaya</t>
  </si>
  <si>
    <t>Shabnam Sami Sani</t>
  </si>
  <si>
    <t>BeMahar</t>
  </si>
  <si>
    <t>Fiza Anwar</t>
  </si>
  <si>
    <t>Dhadkan/Dhanak</t>
  </si>
  <si>
    <t>Imran Ali Syfer</t>
  </si>
  <si>
    <t>Girya Gar</t>
  </si>
  <si>
    <t>Mounam Majeed</t>
  </si>
  <si>
    <t>Afat 2/Mujhay Tum Se Muhabbat Hay</t>
  </si>
  <si>
    <t>Soofia Khurram</t>
  </si>
  <si>
    <t>Wajood</t>
  </si>
  <si>
    <t>Shafia Khan</t>
  </si>
  <si>
    <t>Aasaib Zada</t>
  </si>
  <si>
    <t>Syed Nabeel/Shahid Nizami</t>
  </si>
  <si>
    <t>Story Discussed &amp; Approved</t>
  </si>
  <si>
    <t>Ajnabi</t>
  </si>
  <si>
    <t>Nuzhat Saman</t>
  </si>
  <si>
    <t>Bajjo - 2</t>
  </si>
  <si>
    <t>Javeria Saud</t>
  </si>
  <si>
    <t>Do Dil</t>
  </si>
  <si>
    <t>Mansoor Ahmed Khan</t>
  </si>
  <si>
    <t>Bewafa</t>
  </si>
  <si>
    <t>Sarphira Ishq</t>
  </si>
  <si>
    <t>Muqadar Ka Likkha</t>
  </si>
  <si>
    <t>Muhammad Anas</t>
  </si>
  <si>
    <t>Pichal Peri</t>
  </si>
  <si>
    <t>Amtul Aziz</t>
  </si>
  <si>
    <t>Muhabbat Rooth Jaye Tou</t>
  </si>
  <si>
    <t>Zeeshan Junaid</t>
  </si>
  <si>
    <t>Dil e Rah Guzar</t>
  </si>
  <si>
    <t>Saira Arif</t>
  </si>
  <si>
    <t>Dil e Rawaan</t>
  </si>
  <si>
    <t>Sarah Majeed</t>
  </si>
  <si>
    <t>Zehreeli</t>
  </si>
  <si>
    <t>Nighat Imran</t>
  </si>
  <si>
    <t>Tu Jo Nahee</t>
  </si>
  <si>
    <t>Irfan Aslam</t>
  </si>
  <si>
    <t>Doraha</t>
  </si>
  <si>
    <t>Rida Bilal</t>
  </si>
  <si>
    <t>Meri Duniya</t>
  </si>
  <si>
    <t>Edison Idrees Masih</t>
  </si>
  <si>
    <t>Bunty</t>
  </si>
  <si>
    <t>Saqlain Team</t>
  </si>
  <si>
    <t>SUMMARY</t>
  </si>
  <si>
    <t>Production Planning - 00</t>
  </si>
  <si>
    <t>Story Discussed &amp; Approved - 04</t>
  </si>
  <si>
    <t>NEW</t>
  </si>
  <si>
    <t>Project on Shoot - 06</t>
  </si>
  <si>
    <t>Script completed not on shoot - 05</t>
  </si>
  <si>
    <t>Story Under Discussion/
Development - 12</t>
  </si>
  <si>
    <t>Pre-Production - 02</t>
  </si>
  <si>
    <t>In Writing/Editing - 07</t>
  </si>
  <si>
    <t>SPECIAL TELEILM PROJECTS</t>
  </si>
  <si>
    <t>Script Completion
Percentage
(20-June)</t>
  </si>
  <si>
    <t xml:space="preserve">Capt. Asfandyar Shaheed </t>
  </si>
  <si>
    <t>ISPR Telefilm</t>
  </si>
  <si>
    <t>------</t>
  </si>
  <si>
    <t>Pre Production</t>
  </si>
  <si>
    <t>Telefilm is on shoot</t>
  </si>
  <si>
    <t>Mere Abbu</t>
  </si>
  <si>
    <t>Father's Day</t>
  </si>
  <si>
    <t>Script Final</t>
  </si>
  <si>
    <t>Good bye Pakistan</t>
  </si>
  <si>
    <t>Adeel Razzaque</t>
  </si>
  <si>
    <t>14th August</t>
  </si>
  <si>
    <t>Watan ki matti</t>
  </si>
  <si>
    <t>6th September</t>
  </si>
  <si>
    <t>Duniya Ko Bata do</t>
  </si>
  <si>
    <t>Nooran Makhdoom</t>
  </si>
  <si>
    <t>Branded Content</t>
  </si>
  <si>
    <t>Dil Pasand</t>
  </si>
  <si>
    <t>Imran Nazir</t>
  </si>
  <si>
    <t>Eid Special Telefilm</t>
  </si>
  <si>
    <t>God Father</t>
  </si>
  <si>
    <t>Likhari</t>
  </si>
  <si>
    <t>Revised script is awaited</t>
  </si>
  <si>
    <t>Qubool Hai</t>
  </si>
  <si>
    <t>Script is in Editing Process</t>
  </si>
  <si>
    <t>Ghar Ke Naa Ghaat Ke</t>
  </si>
  <si>
    <t>Amber Azhar</t>
  </si>
  <si>
    <t>Tweet The Hearts</t>
  </si>
  <si>
    <t>Soofia Khurrum</t>
  </si>
  <si>
    <t>Script Received/Not Final</t>
  </si>
  <si>
    <t>Jhooti Farebi</t>
  </si>
  <si>
    <t>Saira Raza</t>
  </si>
  <si>
    <t>Qismat Connection</t>
  </si>
  <si>
    <t>Nida Hasnain</t>
  </si>
  <si>
    <t>Love by Chance</t>
  </si>
  <si>
    <t>On-air Drama</t>
  </si>
  <si>
    <t>Project on Shoot</t>
  </si>
  <si>
    <t>In Writing/Editing</t>
  </si>
  <si>
    <t>TOP 5 PROJECTS WITH AGGREGATE SCORES OF ALL 3 EVALUATIONS</t>
  </si>
  <si>
    <t>SR</t>
  </si>
  <si>
    <t>TITLE</t>
  </si>
  <si>
    <t>WRITER</t>
  </si>
  <si>
    <t>COMPLETION</t>
  </si>
  <si>
    <t>NADEEM</t>
  </si>
  <si>
    <t>SALMAN</t>
  </si>
  <si>
    <t>IMRAN</t>
  </si>
  <si>
    <t>AVERAGE</t>
  </si>
  <si>
    <t>STATUS</t>
  </si>
  <si>
    <t>Madiha Shahid/ Wajiha Sahar</t>
  </si>
  <si>
    <t>SALMAN's TOP 5 RATED</t>
  </si>
  <si>
    <t>IMRAN GREEN's TOP 5 RATED</t>
  </si>
  <si>
    <t>Agar Tum Sath Ho/ Jub Tum Sath Thay</t>
  </si>
  <si>
    <t>NADEEM ASAD's TOP 5 RATED</t>
  </si>
  <si>
    <t>Projects appearing in at least 2 lists</t>
  </si>
  <si>
    <t>Shehdai/ Tere Bin 2</t>
  </si>
  <si>
    <t>Ab Kia Karain</t>
  </si>
  <si>
    <t>Agar Tum Sath Ho / Jab Tum sath they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</si>
</sst>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CD6"/>
        <bgColor indexed="64"/>
      </patternFill>
    </fill>
    <fill>
      <patternFill patternType="solid">
        <fgColor rgb="FFCDD4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DD49C"/>
        <bgColor rgb="FF000000"/>
      </patternFill>
    </fill>
    <fill>
      <patternFill patternType="solid">
        <fgColor rgb="FFFEDCD6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9" fontId="3" fillId="12" borderId="1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12" xfId="0" quotePrefix="1" applyNumberFormat="1" applyBorder="1" applyAlignment="1">
      <alignment horizontal="center" vertical="center"/>
    </xf>
    <xf numFmtId="9" fontId="0" fillId="0" borderId="13" xfId="0" quotePrefix="1" applyNumberFormat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12" borderId="12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12" xfId="0" quotePrefix="1" applyNumberFormat="1" applyBorder="1" applyAlignment="1">
      <alignment horizontal="center" vertical="center"/>
    </xf>
    <xf numFmtId="2" fontId="0" fillId="0" borderId="13" xfId="0" quotePrefix="1" applyNumberForma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12" borderId="1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12" xfId="0" quotePrefix="1" applyNumberFormat="1" applyBorder="1" applyAlignment="1">
      <alignment horizontal="center" vertical="center"/>
    </xf>
    <xf numFmtId="164" fontId="0" fillId="0" borderId="13" xfId="0" quotePrefix="1" applyNumberFormat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2" fontId="10" fillId="16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vertical="center" wrapText="1"/>
    </xf>
    <xf numFmtId="9" fontId="10" fillId="17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16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vertical="center" wrapText="1"/>
    </xf>
    <xf numFmtId="9" fontId="10" fillId="18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164" fontId="10" fillId="18" borderId="1" xfId="0" applyNumberFormat="1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vertical="center"/>
    </xf>
    <xf numFmtId="0" fontId="10" fillId="17" borderId="6" xfId="0" applyFont="1" applyFill="1" applyBorder="1" applyAlignment="1">
      <alignment vertical="center" wrapText="1"/>
    </xf>
    <xf numFmtId="0" fontId="10" fillId="18" borderId="6" xfId="0" applyFont="1" applyFill="1" applyBorder="1" applyAlignment="1">
      <alignment vertical="center"/>
    </xf>
    <xf numFmtId="0" fontId="10" fillId="19" borderId="2" xfId="0" applyFont="1" applyFill="1" applyBorder="1" applyAlignment="1">
      <alignment vertical="center" wrapText="1"/>
    </xf>
    <xf numFmtId="9" fontId="10" fillId="19" borderId="2" xfId="0" applyNumberFormat="1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164" fontId="10" fillId="19" borderId="2" xfId="0" applyNumberFormat="1" applyFont="1" applyFill="1" applyBorder="1" applyAlignment="1">
      <alignment horizontal="center" vertical="center"/>
    </xf>
    <xf numFmtId="2" fontId="10" fillId="16" borderId="2" xfId="0" applyNumberFormat="1" applyFont="1" applyFill="1" applyBorder="1" applyAlignment="1">
      <alignment horizontal="center" vertical="center"/>
    </xf>
    <xf numFmtId="0" fontId="10" fillId="19" borderId="8" xfId="0" applyFont="1" applyFill="1" applyBorder="1" applyAlignment="1">
      <alignment vertical="center"/>
    </xf>
    <xf numFmtId="0" fontId="10" fillId="15" borderId="9" xfId="0" applyFont="1" applyFill="1" applyBorder="1" applyAlignment="1">
      <alignment horizontal="left" vertical="center" wrapText="1"/>
    </xf>
    <xf numFmtId="9" fontId="10" fillId="15" borderId="9" xfId="0" applyNumberFormat="1" applyFont="1" applyFill="1" applyBorder="1" applyAlignment="1">
      <alignment horizontal="center" vertical="center" wrapText="1"/>
    </xf>
    <xf numFmtId="0" fontId="10" fillId="15" borderId="9" xfId="0" applyFont="1" applyFill="1" applyBorder="1" applyAlignment="1">
      <alignment horizontal="center" vertical="center" wrapText="1"/>
    </xf>
    <xf numFmtId="2" fontId="10" fillId="16" borderId="9" xfId="0" applyNumberFormat="1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left" vertical="center"/>
    </xf>
    <xf numFmtId="0" fontId="9" fillId="0" borderId="28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10" fillId="15" borderId="23" xfId="0" applyFont="1" applyFill="1" applyBorder="1" applyAlignment="1">
      <alignment horizontal="left" vertical="center" wrapText="1"/>
    </xf>
    <xf numFmtId="0" fontId="10" fillId="17" borderId="22" xfId="0" applyFont="1" applyFill="1" applyBorder="1" applyAlignment="1">
      <alignment vertical="center"/>
    </xf>
    <xf numFmtId="0" fontId="10" fillId="18" borderId="22" xfId="0" applyFont="1" applyFill="1" applyBorder="1" applyAlignment="1">
      <alignment vertical="center"/>
    </xf>
    <xf numFmtId="0" fontId="10" fillId="19" borderId="32" xfId="0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2" fillId="9" borderId="22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9" fontId="12" fillId="9" borderId="12" xfId="0" applyNumberFormat="1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2" fontId="12" fillId="5" borderId="12" xfId="0" applyNumberFormat="1" applyFont="1" applyFill="1" applyBorder="1" applyAlignment="1">
      <alignment horizontal="center" vertical="center"/>
    </xf>
    <xf numFmtId="0" fontId="12" fillId="9" borderId="6" xfId="1" applyFont="1" applyFill="1" applyBorder="1" applyAlignment="1">
      <alignment horizontal="left" vertical="center"/>
    </xf>
    <xf numFmtId="0" fontId="12" fillId="6" borderId="22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9" fontId="12" fillId="6" borderId="12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vertical="center"/>
    </xf>
    <xf numFmtId="0" fontId="12" fillId="4" borderId="22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9" fontId="12" fillId="4" borderId="12" xfId="0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164" fontId="12" fillId="4" borderId="12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vertical="center"/>
    </xf>
    <xf numFmtId="164" fontId="12" fillId="9" borderId="12" xfId="0" applyNumberFormat="1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 wrapText="1"/>
    </xf>
    <xf numFmtId="9" fontId="12" fillId="4" borderId="13" xfId="0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164" fontId="12" fillId="4" borderId="13" xfId="0" applyNumberFormat="1" applyFont="1" applyFill="1" applyBorder="1" applyAlignment="1">
      <alignment horizontal="center" vertical="center"/>
    </xf>
    <xf numFmtId="2" fontId="12" fillId="5" borderId="13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9" fontId="12" fillId="7" borderId="12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64" fontId="12" fillId="7" borderId="12" xfId="0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7" borderId="22" xfId="0" applyFont="1" applyFill="1" applyBorder="1" applyAlignment="1">
      <alignment vertical="center" wrapText="1"/>
    </xf>
    <xf numFmtId="0" fontId="12" fillId="7" borderId="32" xfId="0" applyFont="1" applyFill="1" applyBorder="1" applyAlignment="1">
      <alignment vertical="center" wrapText="1"/>
    </xf>
    <xf numFmtId="0" fontId="12" fillId="7" borderId="2" xfId="0" applyFont="1" applyFill="1" applyBorder="1" applyAlignment="1">
      <alignment vertical="center" wrapText="1"/>
    </xf>
    <xf numFmtId="9" fontId="12" fillId="7" borderId="13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64" fontId="12" fillId="7" borderId="13" xfId="0" applyNumberFormat="1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vertical="center"/>
    </xf>
    <xf numFmtId="0" fontId="12" fillId="7" borderId="22" xfId="0" applyFont="1" applyFill="1" applyBorder="1" applyAlignment="1">
      <alignment vertical="center"/>
    </xf>
    <xf numFmtId="0" fontId="12" fillId="6" borderId="32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 wrapText="1"/>
    </xf>
    <xf numFmtId="9" fontId="12" fillId="6" borderId="13" xfId="0" applyNumberFormat="1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64" fontId="12" fillId="6" borderId="13" xfId="0" applyNumberFormat="1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9" borderId="23" xfId="0" applyFont="1" applyFill="1" applyBorder="1" applyAlignment="1">
      <alignment horizontal="left" vertical="center" wrapText="1"/>
    </xf>
    <xf numFmtId="0" fontId="12" fillId="9" borderId="9" xfId="0" applyFont="1" applyFill="1" applyBorder="1" applyAlignment="1">
      <alignment horizontal="left" vertical="center" wrapText="1"/>
    </xf>
    <xf numFmtId="9" fontId="12" fillId="9" borderId="14" xfId="0" applyNumberFormat="1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2" fontId="12" fillId="5" borderId="14" xfId="0" applyNumberFormat="1" applyFont="1" applyFill="1" applyBorder="1" applyAlignment="1">
      <alignment horizontal="center" vertical="center"/>
    </xf>
    <xf numFmtId="0" fontId="12" fillId="9" borderId="10" xfId="1" applyFont="1" applyFill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12" fillId="6" borderId="37" xfId="0" applyFont="1" applyFill="1" applyBorder="1" applyAlignment="1">
      <alignment vertical="center"/>
    </xf>
    <xf numFmtId="0" fontId="12" fillId="6" borderId="26" xfId="0" applyFont="1" applyFill="1" applyBorder="1" applyAlignment="1">
      <alignment vertical="center" wrapText="1"/>
    </xf>
    <xf numFmtId="9" fontId="12" fillId="6" borderId="38" xfId="0" applyNumberFormat="1" applyFont="1" applyFill="1" applyBorder="1" applyAlignment="1">
      <alignment horizontal="center" vertical="center"/>
    </xf>
    <xf numFmtId="0" fontId="12" fillId="6" borderId="38" xfId="0" applyFont="1" applyFill="1" applyBorder="1" applyAlignment="1">
      <alignment horizontal="center" vertical="center"/>
    </xf>
    <xf numFmtId="164" fontId="12" fillId="6" borderId="38" xfId="0" applyNumberFormat="1" applyFont="1" applyFill="1" applyBorder="1" applyAlignment="1">
      <alignment horizontal="center" vertical="center"/>
    </xf>
    <xf numFmtId="2" fontId="12" fillId="5" borderId="38" xfId="0" applyNumberFormat="1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vertical="center"/>
    </xf>
    <xf numFmtId="0" fontId="1" fillId="12" borderId="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37" fontId="1" fillId="9" borderId="1" xfId="0" applyNumberFormat="1" applyFont="1" applyFill="1" applyBorder="1" applyAlignment="1">
      <alignment horizontal="center" vertical="center" wrapText="1"/>
    </xf>
    <xf numFmtId="9" fontId="1" fillId="9" borderId="12" xfId="0" applyNumberFormat="1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6" xfId="1" applyFont="1" applyFill="1" applyBorder="1" applyAlignment="1">
      <alignment horizontal="left" vertical="center"/>
    </xf>
    <xf numFmtId="0" fontId="1" fillId="13" borderId="6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9" fontId="1" fillId="6" borderId="12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1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9" fontId="1" fillId="4" borderId="12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13" borderId="6" xfId="0" applyFont="1" applyFill="1" applyBorder="1" applyAlignment="1">
      <alignment horizontal="center" vertical="center" wrapText="1"/>
    </xf>
    <xf numFmtId="164" fontId="1" fillId="9" borderId="12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9" fontId="1" fillId="11" borderId="12" xfId="0" applyNumberFormat="1" applyFont="1" applyFill="1" applyBorder="1" applyAlignment="1">
      <alignment vertical="center"/>
    </xf>
    <xf numFmtId="0" fontId="1" fillId="11" borderId="12" xfId="0" applyFont="1" applyFill="1" applyBorder="1" applyAlignment="1">
      <alignment horizontal="center" vertical="center"/>
    </xf>
    <xf numFmtId="164" fontId="1" fillId="11" borderId="12" xfId="0" applyNumberFormat="1" applyFont="1" applyFill="1" applyBorder="1" applyAlignment="1">
      <alignment vertical="center"/>
    </xf>
    <xf numFmtId="0" fontId="1" fillId="11" borderId="6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9" fontId="1" fillId="7" borderId="12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center"/>
    </xf>
    <xf numFmtId="9" fontId="1" fillId="6" borderId="13" xfId="0" applyNumberFormat="1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164" fontId="1" fillId="6" borderId="13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vertical="center"/>
    </xf>
    <xf numFmtId="0" fontId="1" fillId="13" borderId="8" xfId="0" applyFont="1" applyFill="1" applyBorder="1" applyAlignment="1">
      <alignment horizontal="center"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37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9" borderId="1" xfId="1" applyFont="1" applyFill="1" applyBorder="1" applyAlignment="1">
      <alignment vertical="center"/>
    </xf>
    <xf numFmtId="1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3" borderId="19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 wrapText="1"/>
    </xf>
    <xf numFmtId="0" fontId="1" fillId="7" borderId="9" xfId="0" applyFont="1" applyFill="1" applyBorder="1" applyAlignment="1">
      <alignment horizontal="center" vertical="center"/>
    </xf>
    <xf numFmtId="1" fontId="1" fillId="7" borderId="9" xfId="0" applyNumberFormat="1" applyFont="1" applyFill="1" applyBorder="1" applyAlignment="1">
      <alignment horizontal="center" vertical="center"/>
    </xf>
    <xf numFmtId="9" fontId="1" fillId="7" borderId="14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164" fontId="1" fillId="7" borderId="14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9" fontId="1" fillId="10" borderId="12" xfId="0" applyNumberFormat="1" applyFont="1" applyFill="1" applyBorder="1" applyAlignment="1">
      <alignment vertical="center"/>
    </xf>
    <xf numFmtId="0" fontId="1" fillId="10" borderId="12" xfId="0" applyFont="1" applyFill="1" applyBorder="1" applyAlignment="1">
      <alignment horizontal="center" vertical="center"/>
    </xf>
    <xf numFmtId="164" fontId="1" fillId="10" borderId="12" xfId="0" applyNumberFormat="1" applyFont="1" applyFill="1" applyBorder="1" applyAlignment="1">
      <alignment vertical="center"/>
    </xf>
    <xf numFmtId="0" fontId="1" fillId="10" borderId="6" xfId="0" applyFont="1" applyFill="1" applyBorder="1" applyAlignment="1">
      <alignment vertical="center"/>
    </xf>
    <xf numFmtId="0" fontId="1" fillId="12" borderId="7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9" fontId="1" fillId="11" borderId="13" xfId="0" applyNumberFormat="1" applyFont="1" applyFill="1" applyBorder="1" applyAlignment="1">
      <alignment vertical="center"/>
    </xf>
    <xf numFmtId="0" fontId="1" fillId="11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vertical="center"/>
    </xf>
    <xf numFmtId="0" fontId="1" fillId="11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9" fontId="1" fillId="4" borderId="12" xfId="0" applyNumberFormat="1" applyFont="1" applyFill="1" applyBorder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2" fontId="1" fillId="4" borderId="12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2" fontId="1" fillId="7" borderId="12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vertical="center"/>
    </xf>
    <xf numFmtId="2" fontId="1" fillId="9" borderId="12" xfId="0" applyNumberFormat="1" applyFont="1" applyFill="1" applyBorder="1" applyAlignment="1">
      <alignment horizontal="center" vertical="center" wrapText="1"/>
    </xf>
    <xf numFmtId="0" fontId="1" fillId="9" borderId="12" xfId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3" fillId="9" borderId="3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E9EDF7"/>
      <color rgb="FF0099CC"/>
      <color rgb="FFFFCCFF"/>
      <color rgb="FFDDDDDD"/>
      <color rgb="FFCDD49C"/>
      <color rgb="FFFEDCD6"/>
      <color rgb="FFAAC6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zoomScale="106" zoomScaleNormal="70" zoomScaleSheetLayoutView="67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7" sqref="D27"/>
    </sheetView>
  </sheetViews>
  <sheetFormatPr defaultColWidth="8.88671875" defaultRowHeight="14.4" x14ac:dyDescent="0.3"/>
  <cols>
    <col min="1" max="1" width="8.88671875" style="1"/>
    <col min="2" max="2" width="44.88671875" style="2" customWidth="1"/>
    <col min="3" max="3" width="29.88671875" style="2" bestFit="1" customWidth="1"/>
    <col min="4" max="4" width="12.44140625" style="2" customWidth="1"/>
    <col min="5" max="6" width="9.109375" style="1" customWidth="1"/>
    <col min="7" max="7" width="13.6640625" style="23" customWidth="1"/>
    <col min="8" max="8" width="19.109375" style="23" customWidth="1"/>
    <col min="9" max="9" width="18.6640625" style="23" hidden="1" customWidth="1"/>
    <col min="10" max="11" width="19.109375" style="23" customWidth="1"/>
    <col min="12" max="12" width="19.109375" style="43" customWidth="1"/>
    <col min="13" max="13" width="19.109375" style="38" customWidth="1"/>
    <col min="14" max="14" width="50.6640625" style="2" bestFit="1" customWidth="1"/>
    <col min="15" max="15" width="31.44140625" style="1" bestFit="1" customWidth="1"/>
    <col min="16" max="16384" width="8.88671875" style="2"/>
  </cols>
  <sheetData>
    <row r="1" spans="1:15" ht="40.65" customHeight="1" x14ac:dyDescent="0.3">
      <c r="A1" s="255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</row>
    <row r="2" spans="1:15" ht="33.6" x14ac:dyDescent="0.3">
      <c r="A2" s="6"/>
      <c r="B2" s="6"/>
      <c r="C2" s="6"/>
      <c r="D2" s="6"/>
      <c r="E2" s="6"/>
      <c r="F2" s="6"/>
      <c r="G2" s="21"/>
      <c r="H2" s="21"/>
      <c r="I2" s="21"/>
      <c r="J2" s="21"/>
      <c r="K2" s="21"/>
      <c r="L2" s="41"/>
      <c r="M2" s="36"/>
      <c r="N2" s="6"/>
    </row>
    <row r="3" spans="1:15" ht="23.4" x14ac:dyDescent="0.3">
      <c r="A3" s="253" t="s">
        <v>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</row>
    <row r="4" spans="1:15" s="1" customFormat="1" ht="46.8" x14ac:dyDescent="0.3">
      <c r="A4" s="8" t="s">
        <v>2</v>
      </c>
      <c r="B4" s="7" t="s">
        <v>3</v>
      </c>
      <c r="C4" s="7" t="s">
        <v>4</v>
      </c>
      <c r="D4" s="7" t="s">
        <v>5</v>
      </c>
      <c r="E4" s="20" t="s">
        <v>6</v>
      </c>
      <c r="F4" s="20" t="s">
        <v>7</v>
      </c>
      <c r="G4" s="22" t="s">
        <v>8</v>
      </c>
      <c r="H4" s="22" t="s">
        <v>9</v>
      </c>
      <c r="I4" s="22" t="s">
        <v>10</v>
      </c>
      <c r="J4" s="22" t="s">
        <v>11</v>
      </c>
      <c r="K4" s="22" t="s">
        <v>12</v>
      </c>
      <c r="L4" s="42" t="s">
        <v>13</v>
      </c>
      <c r="M4" s="37" t="s">
        <v>14</v>
      </c>
      <c r="N4" s="26" t="s">
        <v>15</v>
      </c>
      <c r="O4" s="26" t="s">
        <v>16</v>
      </c>
    </row>
    <row r="5" spans="1:15" ht="15.6" customHeight="1" x14ac:dyDescent="0.3">
      <c r="A5" s="148">
        <v>28</v>
      </c>
      <c r="B5" s="149" t="s">
        <v>17</v>
      </c>
      <c r="C5" s="149" t="s">
        <v>18</v>
      </c>
      <c r="D5" s="150"/>
      <c r="E5" s="151">
        <v>26</v>
      </c>
      <c r="F5" s="152">
        <v>8</v>
      </c>
      <c r="G5" s="153">
        <f>F5/E5</f>
        <v>0.30769230769230771</v>
      </c>
      <c r="H5" s="153">
        <v>0.31</v>
      </c>
      <c r="I5" s="153" t="s">
        <v>19</v>
      </c>
      <c r="J5" s="154" t="s">
        <v>20</v>
      </c>
      <c r="K5" s="154">
        <v>9.6</v>
      </c>
      <c r="L5" s="154" t="s">
        <v>20</v>
      </c>
      <c r="M5" s="46" t="s">
        <v>21</v>
      </c>
      <c r="N5" s="155" t="s">
        <v>22</v>
      </c>
      <c r="O5" s="156" t="s">
        <v>19</v>
      </c>
    </row>
    <row r="6" spans="1:15" ht="15.6" customHeight="1" x14ac:dyDescent="0.3">
      <c r="A6" s="148">
        <v>29</v>
      </c>
      <c r="B6" s="149" t="s">
        <v>23</v>
      </c>
      <c r="C6" s="149" t="s">
        <v>24</v>
      </c>
      <c r="D6" s="150"/>
      <c r="E6" s="151">
        <v>26</v>
      </c>
      <c r="F6" s="152">
        <v>9</v>
      </c>
      <c r="G6" s="153">
        <f>F6/E6</f>
        <v>0.34615384615384615</v>
      </c>
      <c r="H6" s="153">
        <v>0.38</v>
      </c>
      <c r="I6" s="153">
        <f>H6-G6</f>
        <v>3.3846153846153859E-2</v>
      </c>
      <c r="J6" s="154" t="s">
        <v>20</v>
      </c>
      <c r="K6" s="154">
        <v>8.1999999999999993</v>
      </c>
      <c r="L6" s="154" t="s">
        <v>20</v>
      </c>
      <c r="M6" s="46" t="s">
        <v>21</v>
      </c>
      <c r="N6" s="155" t="s">
        <v>22</v>
      </c>
      <c r="O6" s="156" t="s">
        <v>19</v>
      </c>
    </row>
    <row r="7" spans="1:15" ht="15.6" customHeight="1" x14ac:dyDescent="0.3">
      <c r="A7" s="148">
        <v>17</v>
      </c>
      <c r="B7" s="157" t="s">
        <v>25</v>
      </c>
      <c r="C7" s="158" t="s">
        <v>26</v>
      </c>
      <c r="D7" s="158"/>
      <c r="E7" s="159">
        <v>26</v>
      </c>
      <c r="F7" s="160">
        <v>12</v>
      </c>
      <c r="G7" s="161">
        <f>F7/E7</f>
        <v>0.46153846153846156</v>
      </c>
      <c r="H7" s="161">
        <v>0.46</v>
      </c>
      <c r="I7" s="161" t="s">
        <v>19</v>
      </c>
      <c r="J7" s="162" t="s">
        <v>20</v>
      </c>
      <c r="K7" s="162">
        <v>6.8</v>
      </c>
      <c r="L7" s="162" t="s">
        <v>20</v>
      </c>
      <c r="M7" s="46" t="s">
        <v>21</v>
      </c>
      <c r="N7" s="163" t="s">
        <v>27</v>
      </c>
      <c r="O7" s="164" t="s">
        <v>19</v>
      </c>
    </row>
    <row r="8" spans="1:15" ht="15.6" customHeight="1" x14ac:dyDescent="0.3">
      <c r="A8" s="148">
        <v>16</v>
      </c>
      <c r="B8" s="157" t="s">
        <v>28</v>
      </c>
      <c r="C8" s="158" t="s">
        <v>29</v>
      </c>
      <c r="D8" s="158"/>
      <c r="E8" s="159">
        <v>26</v>
      </c>
      <c r="F8" s="160">
        <v>21</v>
      </c>
      <c r="G8" s="161">
        <f>F8/E8</f>
        <v>0.80769230769230771</v>
      </c>
      <c r="H8" s="161">
        <v>0.81</v>
      </c>
      <c r="I8" s="161" t="s">
        <v>19</v>
      </c>
      <c r="J8" s="162" t="s">
        <v>20</v>
      </c>
      <c r="K8" s="162">
        <v>6</v>
      </c>
      <c r="L8" s="162" t="s">
        <v>20</v>
      </c>
      <c r="M8" s="46" t="s">
        <v>21</v>
      </c>
      <c r="N8" s="163" t="s">
        <v>30</v>
      </c>
      <c r="O8" s="164" t="s">
        <v>19</v>
      </c>
    </row>
    <row r="9" spans="1:15" ht="15.6" customHeight="1" x14ac:dyDescent="0.3">
      <c r="A9" s="148">
        <v>9</v>
      </c>
      <c r="B9" s="165" t="s">
        <v>31</v>
      </c>
      <c r="C9" s="166" t="s">
        <v>32</v>
      </c>
      <c r="D9" s="166" t="s">
        <v>33</v>
      </c>
      <c r="E9" s="167">
        <v>27</v>
      </c>
      <c r="F9" s="168">
        <v>27</v>
      </c>
      <c r="G9" s="169">
        <v>0.9</v>
      </c>
      <c r="H9" s="169">
        <v>0.95</v>
      </c>
      <c r="I9" s="169">
        <f>H9-G9</f>
        <v>4.9999999999999933E-2</v>
      </c>
      <c r="J9" s="170" t="s">
        <v>20</v>
      </c>
      <c r="K9" s="170">
        <v>9</v>
      </c>
      <c r="L9" s="171">
        <v>6.6</v>
      </c>
      <c r="M9" s="46">
        <f>(K9+L9)/2</f>
        <v>7.8</v>
      </c>
      <c r="N9" s="172" t="s">
        <v>34</v>
      </c>
      <c r="O9" s="164" t="s">
        <v>19</v>
      </c>
    </row>
    <row r="10" spans="1:15" ht="15.6" customHeight="1" x14ac:dyDescent="0.3">
      <c r="A10" s="148">
        <v>10</v>
      </c>
      <c r="B10" s="165" t="s">
        <v>35</v>
      </c>
      <c r="C10" s="166" t="s">
        <v>36</v>
      </c>
      <c r="D10" s="166" t="s">
        <v>37</v>
      </c>
      <c r="E10" s="167">
        <v>26</v>
      </c>
      <c r="F10" s="168">
        <v>14</v>
      </c>
      <c r="G10" s="169">
        <f>F10/E10</f>
        <v>0.53846153846153844</v>
      </c>
      <c r="H10" s="169">
        <v>0.69</v>
      </c>
      <c r="I10" s="169">
        <f>H10-G10</f>
        <v>0.15153846153846151</v>
      </c>
      <c r="J10" s="170" t="s">
        <v>20</v>
      </c>
      <c r="K10" s="170">
        <v>8.6999999999999993</v>
      </c>
      <c r="L10" s="171">
        <v>5.6</v>
      </c>
      <c r="M10" s="46">
        <f>(K10+L10)/2</f>
        <v>7.1499999999999995</v>
      </c>
      <c r="N10" s="173" t="s">
        <v>38</v>
      </c>
      <c r="O10" s="174" t="s">
        <v>19</v>
      </c>
    </row>
    <row r="11" spans="1:15" ht="15.6" customHeight="1" x14ac:dyDescent="0.3">
      <c r="A11" s="148">
        <v>26</v>
      </c>
      <c r="B11" s="149" t="s">
        <v>39</v>
      </c>
      <c r="C11" s="149" t="s">
        <v>40</v>
      </c>
      <c r="D11" s="150"/>
      <c r="E11" s="151">
        <v>30</v>
      </c>
      <c r="F11" s="152">
        <v>13</v>
      </c>
      <c r="G11" s="153">
        <f>F11/E11</f>
        <v>0.43333333333333335</v>
      </c>
      <c r="H11" s="153">
        <v>0.43</v>
      </c>
      <c r="I11" s="153" t="s">
        <v>19</v>
      </c>
      <c r="J11" s="154" t="s">
        <v>20</v>
      </c>
      <c r="K11" s="154" t="s">
        <v>20</v>
      </c>
      <c r="L11" s="175">
        <v>4.4000000000000004</v>
      </c>
      <c r="M11" s="46" t="s">
        <v>21</v>
      </c>
      <c r="N11" s="155" t="s">
        <v>22</v>
      </c>
      <c r="O11" s="156" t="s">
        <v>19</v>
      </c>
    </row>
    <row r="12" spans="1:15" ht="15.6" customHeight="1" x14ac:dyDescent="0.3">
      <c r="A12" s="148">
        <v>11</v>
      </c>
      <c r="B12" s="165" t="s">
        <v>41</v>
      </c>
      <c r="C12" s="166" t="s">
        <v>42</v>
      </c>
      <c r="D12" s="166"/>
      <c r="E12" s="167">
        <v>26</v>
      </c>
      <c r="F12" s="168">
        <v>26</v>
      </c>
      <c r="G12" s="169">
        <v>1</v>
      </c>
      <c r="H12" s="169">
        <v>1</v>
      </c>
      <c r="I12" s="169" t="s">
        <v>19</v>
      </c>
      <c r="J12" s="170" t="s">
        <v>20</v>
      </c>
      <c r="K12" s="170">
        <v>8.4</v>
      </c>
      <c r="L12" s="171">
        <v>4.4000000000000004</v>
      </c>
      <c r="M12" s="46">
        <f>(K12+L12)/2</f>
        <v>6.4</v>
      </c>
      <c r="N12" s="173" t="s">
        <v>43</v>
      </c>
      <c r="O12" s="174" t="s">
        <v>19</v>
      </c>
    </row>
    <row r="13" spans="1:15" ht="15.6" customHeight="1" x14ac:dyDescent="0.3">
      <c r="A13" s="148">
        <v>31</v>
      </c>
      <c r="B13" s="176" t="s">
        <v>44</v>
      </c>
      <c r="C13" s="176" t="s">
        <v>45</v>
      </c>
      <c r="D13" s="176"/>
      <c r="E13" s="177">
        <v>30</v>
      </c>
      <c r="F13" s="176"/>
      <c r="G13" s="178"/>
      <c r="H13" s="178"/>
      <c r="I13" s="178"/>
      <c r="J13" s="179" t="s">
        <v>20</v>
      </c>
      <c r="K13" s="179" t="s">
        <v>20</v>
      </c>
      <c r="L13" s="180"/>
      <c r="M13" s="46" t="s">
        <v>21</v>
      </c>
      <c r="N13" s="181" t="s">
        <v>46</v>
      </c>
      <c r="O13" s="164" t="s">
        <v>19</v>
      </c>
    </row>
    <row r="14" spans="1:15" ht="15.6" customHeight="1" x14ac:dyDescent="0.3">
      <c r="A14" s="148">
        <v>32</v>
      </c>
      <c r="B14" s="176" t="s">
        <v>47</v>
      </c>
      <c r="C14" s="176" t="s">
        <v>18</v>
      </c>
      <c r="D14" s="176"/>
      <c r="E14" s="177">
        <v>30</v>
      </c>
      <c r="F14" s="176"/>
      <c r="G14" s="178"/>
      <c r="H14" s="178"/>
      <c r="I14" s="178"/>
      <c r="J14" s="179" t="s">
        <v>20</v>
      </c>
      <c r="K14" s="179" t="s">
        <v>20</v>
      </c>
      <c r="L14" s="180"/>
      <c r="M14" s="46" t="s">
        <v>21</v>
      </c>
      <c r="N14" s="181" t="s">
        <v>48</v>
      </c>
      <c r="O14" s="164" t="s">
        <v>19</v>
      </c>
    </row>
    <row r="15" spans="1:15" ht="15.6" customHeight="1" x14ac:dyDescent="0.3">
      <c r="A15" s="148">
        <v>33</v>
      </c>
      <c r="B15" s="176" t="s">
        <v>49</v>
      </c>
      <c r="C15" s="176" t="s">
        <v>50</v>
      </c>
      <c r="D15" s="176"/>
      <c r="E15" s="177">
        <v>26</v>
      </c>
      <c r="F15" s="176"/>
      <c r="G15" s="178"/>
      <c r="H15" s="178"/>
      <c r="I15" s="178"/>
      <c r="J15" s="179" t="s">
        <v>20</v>
      </c>
      <c r="K15" s="179" t="s">
        <v>20</v>
      </c>
      <c r="L15" s="180"/>
      <c r="M15" s="46" t="s">
        <v>21</v>
      </c>
      <c r="N15" s="181" t="s">
        <v>48</v>
      </c>
      <c r="O15" s="164" t="s">
        <v>19</v>
      </c>
    </row>
    <row r="16" spans="1:15" ht="15.6" customHeight="1" x14ac:dyDescent="0.3">
      <c r="A16" s="148">
        <v>34</v>
      </c>
      <c r="B16" s="176" t="s">
        <v>51</v>
      </c>
      <c r="C16" s="176" t="s">
        <v>52</v>
      </c>
      <c r="D16" s="176"/>
      <c r="E16" s="177">
        <v>26</v>
      </c>
      <c r="F16" s="176"/>
      <c r="G16" s="178"/>
      <c r="H16" s="178"/>
      <c r="I16" s="178"/>
      <c r="J16" s="179" t="s">
        <v>20</v>
      </c>
      <c r="K16" s="179" t="s">
        <v>20</v>
      </c>
      <c r="L16" s="180"/>
      <c r="M16" s="46" t="s">
        <v>21</v>
      </c>
      <c r="N16" s="181" t="s">
        <v>48</v>
      </c>
      <c r="O16" s="164" t="s">
        <v>19</v>
      </c>
    </row>
    <row r="17" spans="1:15" ht="15.6" customHeight="1" x14ac:dyDescent="0.3">
      <c r="A17" s="148">
        <v>27</v>
      </c>
      <c r="B17" s="149" t="s">
        <v>53</v>
      </c>
      <c r="C17" s="149" t="s">
        <v>54</v>
      </c>
      <c r="D17" s="150"/>
      <c r="E17" s="151">
        <v>16</v>
      </c>
      <c r="F17" s="152">
        <v>10</v>
      </c>
      <c r="G17" s="153">
        <f>F17/E17</f>
        <v>0.625</v>
      </c>
      <c r="H17" s="153">
        <v>0.56000000000000005</v>
      </c>
      <c r="I17" s="153">
        <f>H17-G17</f>
        <v>-6.4999999999999947E-2</v>
      </c>
      <c r="J17" s="154">
        <v>8.3000000000000007</v>
      </c>
      <c r="K17" s="154">
        <v>8</v>
      </c>
      <c r="L17" s="154" t="s">
        <v>20</v>
      </c>
      <c r="M17" s="46">
        <f>(J17+K17)/2</f>
        <v>8.15</v>
      </c>
      <c r="N17" s="155" t="s">
        <v>22</v>
      </c>
      <c r="O17" s="156" t="s">
        <v>19</v>
      </c>
    </row>
    <row r="18" spans="1:15" ht="15.6" customHeight="1" x14ac:dyDescent="0.3">
      <c r="A18" s="148">
        <v>18</v>
      </c>
      <c r="B18" s="182" t="s">
        <v>55</v>
      </c>
      <c r="C18" s="183" t="s">
        <v>56</v>
      </c>
      <c r="D18" s="183"/>
      <c r="E18" s="184">
        <v>30</v>
      </c>
      <c r="F18" s="185">
        <v>30</v>
      </c>
      <c r="G18" s="186">
        <v>1</v>
      </c>
      <c r="H18" s="186">
        <v>1</v>
      </c>
      <c r="I18" s="186" t="s">
        <v>19</v>
      </c>
      <c r="J18" s="187">
        <v>7.9</v>
      </c>
      <c r="K18" s="187">
        <v>8.1999999999999993</v>
      </c>
      <c r="L18" s="188">
        <v>4.8</v>
      </c>
      <c r="M18" s="46">
        <f>(J18+K18+L18)/3</f>
        <v>6.9666666666666677</v>
      </c>
      <c r="N18" s="189" t="s">
        <v>57</v>
      </c>
      <c r="O18" s="164" t="s">
        <v>19</v>
      </c>
    </row>
    <row r="19" spans="1:15" ht="31.2" x14ac:dyDescent="0.3">
      <c r="A19" s="148">
        <v>20</v>
      </c>
      <c r="B19" s="183" t="s">
        <v>58</v>
      </c>
      <c r="C19" s="183" t="s">
        <v>32</v>
      </c>
      <c r="D19" s="183"/>
      <c r="E19" s="184">
        <v>30</v>
      </c>
      <c r="F19" s="185">
        <v>30</v>
      </c>
      <c r="G19" s="186">
        <v>1</v>
      </c>
      <c r="H19" s="186">
        <v>1</v>
      </c>
      <c r="I19" s="186" t="s">
        <v>19</v>
      </c>
      <c r="J19" s="187">
        <v>6.3</v>
      </c>
      <c r="K19" s="187">
        <v>6.8</v>
      </c>
      <c r="L19" s="188">
        <v>6</v>
      </c>
      <c r="M19" s="46">
        <f>(J19+K19+L19)/3</f>
        <v>6.3666666666666671</v>
      </c>
      <c r="N19" s="189" t="s">
        <v>57</v>
      </c>
      <c r="O19" s="164" t="s">
        <v>19</v>
      </c>
    </row>
    <row r="20" spans="1:15" ht="16.2" thickBot="1" x14ac:dyDescent="0.35">
      <c r="A20" s="148">
        <v>13</v>
      </c>
      <c r="B20" s="190" t="s">
        <v>59</v>
      </c>
      <c r="C20" s="191" t="s">
        <v>60</v>
      </c>
      <c r="D20" s="191"/>
      <c r="E20" s="192">
        <v>30</v>
      </c>
      <c r="F20" s="193">
        <v>30</v>
      </c>
      <c r="G20" s="194">
        <v>1</v>
      </c>
      <c r="H20" s="194">
        <v>1</v>
      </c>
      <c r="I20" s="194" t="s">
        <v>19</v>
      </c>
      <c r="J20" s="195">
        <v>5</v>
      </c>
      <c r="K20" s="195">
        <v>8.3000000000000007</v>
      </c>
      <c r="L20" s="196">
        <v>6.2</v>
      </c>
      <c r="M20" s="46">
        <f>(J20+K20+L20)/3</f>
        <v>6.5</v>
      </c>
      <c r="N20" s="197" t="s">
        <v>61</v>
      </c>
      <c r="O20" s="198" t="s">
        <v>19</v>
      </c>
    </row>
    <row r="21" spans="1:15" ht="20.399999999999999" customHeight="1" x14ac:dyDescent="0.3">
      <c r="A21" s="148">
        <v>12</v>
      </c>
      <c r="B21" s="157" t="s">
        <v>62</v>
      </c>
      <c r="C21" s="158" t="s">
        <v>60</v>
      </c>
      <c r="D21" s="158"/>
      <c r="E21" s="159">
        <v>30</v>
      </c>
      <c r="F21" s="160">
        <v>30</v>
      </c>
      <c r="G21" s="161">
        <v>1</v>
      </c>
      <c r="H21" s="161">
        <v>1</v>
      </c>
      <c r="I21" s="161" t="s">
        <v>19</v>
      </c>
      <c r="J21" s="162">
        <v>4.5999999999999996</v>
      </c>
      <c r="K21" s="162">
        <v>6.8</v>
      </c>
      <c r="L21" s="199">
        <v>4.8</v>
      </c>
      <c r="M21" s="46">
        <f>(J21+K21+L21)/3</f>
        <v>5.3999999999999995</v>
      </c>
      <c r="N21" s="163" t="s">
        <v>61</v>
      </c>
      <c r="O21" s="164" t="s">
        <v>19</v>
      </c>
    </row>
    <row r="22" spans="1:15" ht="15.6" customHeight="1" x14ac:dyDescent="0.3">
      <c r="A22" s="148">
        <v>22</v>
      </c>
      <c r="B22" s="149" t="s">
        <v>63</v>
      </c>
      <c r="C22" s="149" t="s">
        <v>64</v>
      </c>
      <c r="D22" s="150"/>
      <c r="E22" s="151">
        <v>26</v>
      </c>
      <c r="F22" s="152">
        <v>26</v>
      </c>
      <c r="G22" s="153">
        <v>0.8</v>
      </c>
      <c r="H22" s="153">
        <v>0.8</v>
      </c>
      <c r="I22" s="153"/>
      <c r="J22" s="154">
        <v>4.2</v>
      </c>
      <c r="K22" s="154" t="s">
        <v>20</v>
      </c>
      <c r="L22" s="175">
        <v>6</v>
      </c>
      <c r="M22" s="46">
        <f>(J22+L22)/2</f>
        <v>5.0999999999999996</v>
      </c>
      <c r="N22" s="155" t="s">
        <v>65</v>
      </c>
      <c r="O22" s="156" t="s">
        <v>19</v>
      </c>
    </row>
    <row r="23" spans="1:15" ht="15.6" customHeight="1" x14ac:dyDescent="0.3">
      <c r="A23" s="148">
        <v>24</v>
      </c>
      <c r="B23" s="149" t="s">
        <v>66</v>
      </c>
      <c r="C23" s="149" t="s">
        <v>67</v>
      </c>
      <c r="D23" s="150"/>
      <c r="E23" s="151">
        <v>30</v>
      </c>
      <c r="F23" s="152">
        <v>18</v>
      </c>
      <c r="G23" s="153">
        <f>F23/E23</f>
        <v>0.6</v>
      </c>
      <c r="H23" s="153">
        <v>0.63</v>
      </c>
      <c r="I23" s="153">
        <f>H23-G23</f>
        <v>3.0000000000000027E-2</v>
      </c>
      <c r="J23" s="154">
        <v>3.8</v>
      </c>
      <c r="K23" s="154">
        <v>8.8000000000000007</v>
      </c>
      <c r="L23" s="175">
        <v>6</v>
      </c>
      <c r="M23" s="46">
        <f>(J23+K23+L23)/3</f>
        <v>6.2</v>
      </c>
      <c r="N23" s="155" t="s">
        <v>22</v>
      </c>
      <c r="O23" s="156" t="s">
        <v>19</v>
      </c>
    </row>
    <row r="24" spans="1:15" ht="15.6" customHeight="1" x14ac:dyDescent="0.3">
      <c r="A24" s="148">
        <v>14</v>
      </c>
      <c r="B24" s="157" t="s">
        <v>68</v>
      </c>
      <c r="C24" s="158" t="s">
        <v>18</v>
      </c>
      <c r="D24" s="158"/>
      <c r="E24" s="159">
        <v>30</v>
      </c>
      <c r="F24" s="160">
        <v>27</v>
      </c>
      <c r="G24" s="161">
        <f>F24/E24</f>
        <v>0.9</v>
      </c>
      <c r="H24" s="161">
        <v>0.9</v>
      </c>
      <c r="I24" s="161" t="s">
        <v>19</v>
      </c>
      <c r="J24" s="162">
        <v>3.3</v>
      </c>
      <c r="K24" s="162">
        <v>9.1</v>
      </c>
      <c r="L24" s="199">
        <v>7.4</v>
      </c>
      <c r="M24" s="46">
        <f>(J24+K24+L24)/3</f>
        <v>6.5999999999999988</v>
      </c>
      <c r="N24" s="163" t="s">
        <v>30</v>
      </c>
      <c r="O24" s="164" t="s">
        <v>19</v>
      </c>
    </row>
    <row r="25" spans="1:15" ht="15.6" customHeight="1" x14ac:dyDescent="0.3">
      <c r="A25" s="148">
        <v>21</v>
      </c>
      <c r="B25" s="183" t="s">
        <v>69</v>
      </c>
      <c r="C25" s="183" t="s">
        <v>70</v>
      </c>
      <c r="D25" s="183"/>
      <c r="E25" s="184">
        <v>30</v>
      </c>
      <c r="F25" s="185">
        <v>30</v>
      </c>
      <c r="G25" s="186">
        <v>1</v>
      </c>
      <c r="H25" s="186">
        <v>1</v>
      </c>
      <c r="I25" s="186" t="s">
        <v>19</v>
      </c>
      <c r="J25" s="187">
        <v>3.3</v>
      </c>
      <c r="K25" s="187" t="s">
        <v>20</v>
      </c>
      <c r="L25" s="188">
        <v>6</v>
      </c>
      <c r="M25" s="46">
        <f>(J25+L25)/2</f>
        <v>4.6500000000000004</v>
      </c>
      <c r="N25" s="189" t="s">
        <v>57</v>
      </c>
      <c r="O25" s="164" t="s">
        <v>19</v>
      </c>
    </row>
    <row r="26" spans="1:15" ht="15.6" customHeight="1" x14ac:dyDescent="0.3">
      <c r="A26" s="148">
        <v>15</v>
      </c>
      <c r="B26" s="157" t="s">
        <v>71</v>
      </c>
      <c r="C26" s="158" t="s">
        <v>45</v>
      </c>
      <c r="D26" s="158"/>
      <c r="E26" s="159">
        <v>30</v>
      </c>
      <c r="F26" s="160">
        <v>29</v>
      </c>
      <c r="G26" s="161">
        <f>F26/E26</f>
        <v>0.96666666666666667</v>
      </c>
      <c r="H26" s="161">
        <v>0.9</v>
      </c>
      <c r="I26" s="161">
        <f>H26-G26</f>
        <v>-6.6666666666666652E-2</v>
      </c>
      <c r="J26" s="162">
        <v>3.3</v>
      </c>
      <c r="K26" s="162">
        <v>7</v>
      </c>
      <c r="L26" s="199">
        <v>4.8</v>
      </c>
      <c r="M26" s="46">
        <f>(J26+K26+L26)/3</f>
        <v>5.0333333333333341</v>
      </c>
      <c r="N26" s="163" t="s">
        <v>72</v>
      </c>
      <c r="O26" s="164" t="s">
        <v>19</v>
      </c>
    </row>
    <row r="27" spans="1:15" ht="15.6" customHeight="1" x14ac:dyDescent="0.3">
      <c r="A27" s="148">
        <v>25</v>
      </c>
      <c r="B27" s="149" t="s">
        <v>73</v>
      </c>
      <c r="C27" s="149" t="s">
        <v>74</v>
      </c>
      <c r="D27" s="150"/>
      <c r="E27" s="151">
        <v>30</v>
      </c>
      <c r="F27" s="152">
        <v>18</v>
      </c>
      <c r="G27" s="153">
        <f>F27/E27</f>
        <v>0.6</v>
      </c>
      <c r="H27" s="153">
        <v>0.67</v>
      </c>
      <c r="I27" s="153">
        <f>H27-G27</f>
        <v>7.0000000000000062E-2</v>
      </c>
      <c r="J27" s="154">
        <v>3.3</v>
      </c>
      <c r="K27" s="154">
        <v>8.6</v>
      </c>
      <c r="L27" s="175">
        <v>4.5999999999999996</v>
      </c>
      <c r="M27" s="46">
        <f>(J27+K27+L27)/3</f>
        <v>5.5</v>
      </c>
      <c r="N27" s="155" t="s">
        <v>22</v>
      </c>
      <c r="O27" s="156" t="s">
        <v>19</v>
      </c>
    </row>
    <row r="28" spans="1:15" ht="15.6" customHeight="1" x14ac:dyDescent="0.3">
      <c r="A28" s="148">
        <v>23</v>
      </c>
      <c r="B28" s="149" t="s">
        <v>75</v>
      </c>
      <c r="C28" s="149" t="s">
        <v>76</v>
      </c>
      <c r="D28" s="150"/>
      <c r="E28" s="151">
        <v>35</v>
      </c>
      <c r="F28" s="152">
        <v>24</v>
      </c>
      <c r="G28" s="153">
        <f>F28/E28</f>
        <v>0.68571428571428572</v>
      </c>
      <c r="H28" s="153">
        <v>0.89</v>
      </c>
      <c r="I28" s="153">
        <f>H28-G28</f>
        <v>0.20428571428571429</v>
      </c>
      <c r="J28" s="154">
        <v>3.3</v>
      </c>
      <c r="K28" s="154" t="s">
        <v>20</v>
      </c>
      <c r="L28" s="175">
        <v>3.4</v>
      </c>
      <c r="M28" s="46">
        <f>(J28+L28)/2</f>
        <v>3.3499999999999996</v>
      </c>
      <c r="N28" s="155" t="s">
        <v>22</v>
      </c>
      <c r="O28" s="156" t="s">
        <v>19</v>
      </c>
    </row>
    <row r="29" spans="1:15" ht="15.6" customHeight="1" x14ac:dyDescent="0.3">
      <c r="A29" s="148">
        <v>19</v>
      </c>
      <c r="B29" s="182" t="s">
        <v>77</v>
      </c>
      <c r="C29" s="183" t="s">
        <v>78</v>
      </c>
      <c r="D29" s="183"/>
      <c r="E29" s="184">
        <v>28</v>
      </c>
      <c r="F29" s="185">
        <v>28</v>
      </c>
      <c r="G29" s="186">
        <v>1</v>
      </c>
      <c r="H29" s="186">
        <v>1</v>
      </c>
      <c r="I29" s="186" t="s">
        <v>19</v>
      </c>
      <c r="J29" s="187">
        <v>2.1</v>
      </c>
      <c r="K29" s="187">
        <v>7.4</v>
      </c>
      <c r="L29" s="188">
        <v>4.8</v>
      </c>
      <c r="M29" s="46">
        <f>(J29+K29+L29)/3</f>
        <v>4.7666666666666666</v>
      </c>
      <c r="N29" s="189" t="s">
        <v>57</v>
      </c>
      <c r="O29" s="164" t="s">
        <v>19</v>
      </c>
    </row>
    <row r="30" spans="1:15" x14ac:dyDescent="0.3">
      <c r="A30" s="2"/>
    </row>
    <row r="31" spans="1:15" x14ac:dyDescent="0.3">
      <c r="A31" s="2"/>
      <c r="B31" s="251"/>
      <c r="C31" s="251"/>
      <c r="D31" s="251"/>
      <c r="E31" s="251"/>
    </row>
    <row r="32" spans="1:15" ht="15.6" x14ac:dyDescent="0.3">
      <c r="A32" s="200"/>
      <c r="B32" s="201" t="s">
        <v>79</v>
      </c>
      <c r="C32" s="157" t="s">
        <v>80</v>
      </c>
      <c r="D32" s="262" t="s">
        <v>81</v>
      </c>
      <c r="E32" s="262"/>
    </row>
    <row r="33" spans="1:15" ht="15.6" customHeight="1" x14ac:dyDescent="0.3">
      <c r="A33" s="200"/>
      <c r="B33" s="202" t="s">
        <v>82</v>
      </c>
      <c r="C33" s="182" t="s">
        <v>83</v>
      </c>
      <c r="D33" s="252" t="s">
        <v>84</v>
      </c>
      <c r="E33" s="252"/>
      <c r="F33" s="203"/>
      <c r="G33" s="204"/>
      <c r="H33" s="204"/>
      <c r="I33" s="204"/>
      <c r="J33" s="204"/>
      <c r="K33" s="204"/>
      <c r="L33" s="205"/>
      <c r="M33" s="206"/>
      <c r="N33" s="4"/>
    </row>
    <row r="34" spans="1:15" ht="15.6" x14ac:dyDescent="0.3">
      <c r="A34" s="200"/>
      <c r="B34" s="166" t="s">
        <v>85</v>
      </c>
      <c r="C34" s="207" t="s">
        <v>86</v>
      </c>
      <c r="D34" s="252"/>
      <c r="E34" s="252"/>
      <c r="F34" s="208"/>
      <c r="G34" s="209"/>
      <c r="H34" s="209"/>
      <c r="I34" s="209"/>
      <c r="J34" s="209"/>
      <c r="K34" s="209"/>
      <c r="L34" s="210"/>
      <c r="M34" s="211"/>
    </row>
    <row r="35" spans="1:15" ht="15.6" x14ac:dyDescent="0.3">
      <c r="A35" s="200"/>
      <c r="B35" s="200"/>
      <c r="C35" s="200"/>
      <c r="D35" s="200"/>
      <c r="E35" s="204"/>
      <c r="F35" s="208"/>
      <c r="G35" s="209"/>
      <c r="H35" s="209"/>
      <c r="I35" s="209"/>
      <c r="J35" s="209"/>
      <c r="K35" s="209"/>
      <c r="L35" s="210"/>
      <c r="M35" s="211"/>
    </row>
    <row r="36" spans="1:15" ht="24" thickBot="1" x14ac:dyDescent="0.35">
      <c r="A36" s="253" t="s">
        <v>87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65"/>
    </row>
    <row r="37" spans="1:15" ht="62.4" x14ac:dyDescent="0.3">
      <c r="A37" s="8" t="s">
        <v>2</v>
      </c>
      <c r="B37" s="7" t="s">
        <v>3</v>
      </c>
      <c r="C37" s="7" t="s">
        <v>4</v>
      </c>
      <c r="D37" s="7" t="s">
        <v>5</v>
      </c>
      <c r="E37" s="20" t="s">
        <v>6</v>
      </c>
      <c r="F37" s="20" t="s">
        <v>7</v>
      </c>
      <c r="G37" s="22" t="s">
        <v>88</v>
      </c>
      <c r="H37" s="22" t="s">
        <v>89</v>
      </c>
      <c r="I37" s="22" t="s">
        <v>90</v>
      </c>
      <c r="J37" s="22" t="s">
        <v>91</v>
      </c>
      <c r="K37" s="22" t="s">
        <v>92</v>
      </c>
      <c r="L37" s="42" t="s">
        <v>93</v>
      </c>
      <c r="M37" s="37" t="s">
        <v>14</v>
      </c>
      <c r="N37" s="26" t="s">
        <v>94</v>
      </c>
      <c r="O37" s="33" t="s">
        <v>95</v>
      </c>
    </row>
    <row r="38" spans="1:15" ht="15.6" customHeight="1" x14ac:dyDescent="0.3">
      <c r="A38" s="148">
        <v>10</v>
      </c>
      <c r="B38" s="165" t="s">
        <v>96</v>
      </c>
      <c r="C38" s="166" t="s">
        <v>97</v>
      </c>
      <c r="D38" s="166" t="s">
        <v>98</v>
      </c>
      <c r="E38" s="167">
        <v>50</v>
      </c>
      <c r="F38" s="168">
        <v>50</v>
      </c>
      <c r="G38" s="169">
        <v>1</v>
      </c>
      <c r="H38" s="169">
        <v>1</v>
      </c>
      <c r="I38" s="169" t="s">
        <v>19</v>
      </c>
      <c r="J38" s="170" t="s">
        <v>20</v>
      </c>
      <c r="K38" s="170" t="s">
        <v>20</v>
      </c>
      <c r="L38" s="171"/>
      <c r="M38" s="46" t="e">
        <f t="shared" ref="M38:M67" si="0">(J38+K38+L38)/3</f>
        <v>#VALUE!</v>
      </c>
      <c r="N38" s="172" t="s">
        <v>99</v>
      </c>
      <c r="O38" s="212" t="s">
        <v>100</v>
      </c>
    </row>
    <row r="39" spans="1:15" ht="15.6" customHeight="1" x14ac:dyDescent="0.3">
      <c r="A39" s="148">
        <v>11</v>
      </c>
      <c r="B39" s="165" t="s">
        <v>101</v>
      </c>
      <c r="C39" s="166" t="s">
        <v>102</v>
      </c>
      <c r="D39" s="166" t="s">
        <v>103</v>
      </c>
      <c r="E39" s="167">
        <v>50</v>
      </c>
      <c r="F39" s="168">
        <v>50</v>
      </c>
      <c r="G39" s="169">
        <v>1</v>
      </c>
      <c r="H39" s="169">
        <v>1</v>
      </c>
      <c r="I39" s="169" t="s">
        <v>19</v>
      </c>
      <c r="J39" s="170" t="s">
        <v>20</v>
      </c>
      <c r="K39" s="170" t="s">
        <v>20</v>
      </c>
      <c r="L39" s="171"/>
      <c r="M39" s="46" t="e">
        <f t="shared" si="0"/>
        <v>#VALUE!</v>
      </c>
      <c r="N39" s="172" t="s">
        <v>104</v>
      </c>
      <c r="O39" s="34" t="s">
        <v>19</v>
      </c>
    </row>
    <row r="40" spans="1:15" ht="15.6" customHeight="1" x14ac:dyDescent="0.3">
      <c r="A40" s="148">
        <v>12</v>
      </c>
      <c r="B40" s="182" t="s">
        <v>105</v>
      </c>
      <c r="C40" s="183" t="s">
        <v>106</v>
      </c>
      <c r="D40" s="183"/>
      <c r="E40" s="184" t="s">
        <v>107</v>
      </c>
      <c r="F40" s="185" t="s">
        <v>107</v>
      </c>
      <c r="G40" s="186">
        <v>1</v>
      </c>
      <c r="H40" s="186">
        <v>1</v>
      </c>
      <c r="I40" s="186" t="s">
        <v>19</v>
      </c>
      <c r="J40" s="187">
        <v>3.8</v>
      </c>
      <c r="K40" s="187" t="s">
        <v>20</v>
      </c>
      <c r="L40" s="188"/>
      <c r="M40" s="46" t="e">
        <f t="shared" si="0"/>
        <v>#VALUE!</v>
      </c>
      <c r="N40" s="189" t="s">
        <v>57</v>
      </c>
      <c r="O40" s="34" t="s">
        <v>19</v>
      </c>
    </row>
    <row r="41" spans="1:15" ht="15.6" customHeight="1" x14ac:dyDescent="0.3">
      <c r="A41" s="148">
        <v>13</v>
      </c>
      <c r="B41" s="182" t="s">
        <v>108</v>
      </c>
      <c r="C41" s="183" t="s">
        <v>97</v>
      </c>
      <c r="D41" s="183"/>
      <c r="E41" s="184">
        <v>35</v>
      </c>
      <c r="F41" s="185">
        <v>35</v>
      </c>
      <c r="G41" s="186">
        <v>1</v>
      </c>
      <c r="H41" s="186">
        <v>1</v>
      </c>
      <c r="I41" s="186" t="s">
        <v>19</v>
      </c>
      <c r="J41" s="187">
        <v>5</v>
      </c>
      <c r="K41" s="187">
        <v>7.2</v>
      </c>
      <c r="L41" s="188"/>
      <c r="M41" s="46">
        <f t="shared" si="0"/>
        <v>4.0666666666666664</v>
      </c>
      <c r="N41" s="189" t="s">
        <v>57</v>
      </c>
      <c r="O41" s="34" t="s">
        <v>19</v>
      </c>
    </row>
    <row r="42" spans="1:15" ht="31.2" x14ac:dyDescent="0.3">
      <c r="A42" s="148">
        <v>14</v>
      </c>
      <c r="B42" s="182" t="s">
        <v>109</v>
      </c>
      <c r="C42" s="183" t="s">
        <v>110</v>
      </c>
      <c r="D42" s="183"/>
      <c r="E42" s="184">
        <f>4+46</f>
        <v>50</v>
      </c>
      <c r="F42" s="185">
        <v>50</v>
      </c>
      <c r="G42" s="186">
        <v>1</v>
      </c>
      <c r="H42" s="186">
        <v>1</v>
      </c>
      <c r="I42" s="186" t="s">
        <v>19</v>
      </c>
      <c r="J42" s="187">
        <v>5.4</v>
      </c>
      <c r="K42" s="187">
        <v>7.4</v>
      </c>
      <c r="L42" s="188"/>
      <c r="M42" s="46">
        <f t="shared" si="0"/>
        <v>4.2666666666666666</v>
      </c>
      <c r="N42" s="189" t="s">
        <v>57</v>
      </c>
      <c r="O42" s="34" t="s">
        <v>19</v>
      </c>
    </row>
    <row r="43" spans="1:15" ht="15.6" customHeight="1" x14ac:dyDescent="0.3">
      <c r="A43" s="148">
        <v>15</v>
      </c>
      <c r="B43" s="182" t="s">
        <v>111</v>
      </c>
      <c r="C43" s="183" t="s">
        <v>76</v>
      </c>
      <c r="D43" s="183"/>
      <c r="E43" s="184">
        <v>50</v>
      </c>
      <c r="F43" s="185">
        <v>50</v>
      </c>
      <c r="G43" s="186">
        <v>1</v>
      </c>
      <c r="H43" s="186">
        <v>1</v>
      </c>
      <c r="I43" s="186" t="s">
        <v>19</v>
      </c>
      <c r="J43" s="187">
        <v>5.8</v>
      </c>
      <c r="K43" s="187" t="s">
        <v>20</v>
      </c>
      <c r="L43" s="188"/>
      <c r="M43" s="46" t="e">
        <f t="shared" si="0"/>
        <v>#VALUE!</v>
      </c>
      <c r="N43" s="189" t="s">
        <v>57</v>
      </c>
      <c r="O43" s="34" t="s">
        <v>19</v>
      </c>
    </row>
    <row r="44" spans="1:15" ht="15.6" customHeight="1" x14ac:dyDescent="0.3">
      <c r="A44" s="148">
        <v>16</v>
      </c>
      <c r="B44" s="213" t="s">
        <v>112</v>
      </c>
      <c r="C44" s="214" t="s">
        <v>113</v>
      </c>
      <c r="D44" s="214"/>
      <c r="E44" s="215">
        <v>31</v>
      </c>
      <c r="F44" s="216">
        <v>31</v>
      </c>
      <c r="G44" s="217">
        <v>1</v>
      </c>
      <c r="H44" s="186">
        <v>1</v>
      </c>
      <c r="I44" s="186" t="s">
        <v>19</v>
      </c>
      <c r="J44" s="218">
        <v>7.1</v>
      </c>
      <c r="K44" s="218" t="s">
        <v>20</v>
      </c>
      <c r="L44" s="219"/>
      <c r="M44" s="46" t="e">
        <f t="shared" si="0"/>
        <v>#VALUE!</v>
      </c>
      <c r="N44" s="220" t="s">
        <v>57</v>
      </c>
      <c r="O44" s="34" t="s">
        <v>19</v>
      </c>
    </row>
    <row r="45" spans="1:15" ht="15.6" customHeight="1" x14ac:dyDescent="0.3">
      <c r="A45" s="148">
        <v>17</v>
      </c>
      <c r="B45" s="149" t="s">
        <v>114</v>
      </c>
      <c r="C45" s="149" t="s">
        <v>115</v>
      </c>
      <c r="D45" s="150"/>
      <c r="E45" s="151">
        <v>50</v>
      </c>
      <c r="F45" s="152">
        <v>33</v>
      </c>
      <c r="G45" s="153">
        <f t="shared" ref="G45:G51" si="1">F45/E45</f>
        <v>0.66</v>
      </c>
      <c r="H45" s="153">
        <v>0.62</v>
      </c>
      <c r="I45" s="153">
        <f>G45-H45</f>
        <v>4.0000000000000036E-2</v>
      </c>
      <c r="J45" s="154">
        <v>3.8</v>
      </c>
      <c r="K45" s="154">
        <v>7.6</v>
      </c>
      <c r="L45" s="175"/>
      <c r="M45" s="46">
        <f t="shared" si="0"/>
        <v>3.7999999999999994</v>
      </c>
      <c r="N45" s="155" t="s">
        <v>116</v>
      </c>
      <c r="O45" s="34" t="s">
        <v>19</v>
      </c>
    </row>
    <row r="46" spans="1:15" ht="15.6" customHeight="1" x14ac:dyDescent="0.3">
      <c r="A46" s="148">
        <v>18</v>
      </c>
      <c r="B46" s="149" t="s">
        <v>117</v>
      </c>
      <c r="C46" s="149" t="s">
        <v>118</v>
      </c>
      <c r="D46" s="150"/>
      <c r="E46" s="151">
        <v>50</v>
      </c>
      <c r="F46" s="152">
        <v>17</v>
      </c>
      <c r="G46" s="153">
        <f t="shared" si="1"/>
        <v>0.34</v>
      </c>
      <c r="H46" s="153">
        <v>0.34</v>
      </c>
      <c r="I46" s="153" t="s">
        <v>19</v>
      </c>
      <c r="J46" s="154" t="s">
        <v>20</v>
      </c>
      <c r="K46" s="154">
        <v>7.4</v>
      </c>
      <c r="L46" s="175"/>
      <c r="M46" s="46" t="e">
        <f t="shared" si="0"/>
        <v>#VALUE!</v>
      </c>
      <c r="N46" s="155" t="s">
        <v>22</v>
      </c>
      <c r="O46" s="34" t="s">
        <v>19</v>
      </c>
    </row>
    <row r="47" spans="1:15" ht="15.6" customHeight="1" x14ac:dyDescent="0.3">
      <c r="A47" s="148">
        <v>19</v>
      </c>
      <c r="B47" s="149" t="s">
        <v>119</v>
      </c>
      <c r="C47" s="149" t="s">
        <v>120</v>
      </c>
      <c r="D47" s="150"/>
      <c r="E47" s="151">
        <v>26</v>
      </c>
      <c r="F47" s="152">
        <v>3</v>
      </c>
      <c r="G47" s="153">
        <f t="shared" si="1"/>
        <v>0.11538461538461539</v>
      </c>
      <c r="H47" s="153" t="s">
        <v>19</v>
      </c>
      <c r="I47" s="153" t="s">
        <v>19</v>
      </c>
      <c r="J47" s="154" t="s">
        <v>20</v>
      </c>
      <c r="K47" s="154" t="s">
        <v>20</v>
      </c>
      <c r="L47" s="175"/>
      <c r="M47" s="46" t="e">
        <f t="shared" si="0"/>
        <v>#VALUE!</v>
      </c>
      <c r="N47" s="155" t="s">
        <v>22</v>
      </c>
      <c r="O47" s="34" t="s">
        <v>19</v>
      </c>
    </row>
    <row r="48" spans="1:15" ht="15.6" x14ac:dyDescent="0.3">
      <c r="A48" s="148">
        <v>20</v>
      </c>
      <c r="B48" s="149" t="s">
        <v>121</v>
      </c>
      <c r="C48" s="149" t="s">
        <v>122</v>
      </c>
      <c r="D48" s="150"/>
      <c r="E48" s="151">
        <v>50</v>
      </c>
      <c r="F48" s="152">
        <v>3</v>
      </c>
      <c r="G48" s="153">
        <f t="shared" si="1"/>
        <v>0.06</v>
      </c>
      <c r="H48" s="153">
        <v>0.12</v>
      </c>
      <c r="I48" s="153">
        <f>H48-G48</f>
        <v>0.06</v>
      </c>
      <c r="J48" s="154" t="s">
        <v>20</v>
      </c>
      <c r="K48" s="154" t="s">
        <v>20</v>
      </c>
      <c r="L48" s="175"/>
      <c r="M48" s="46" t="e">
        <f t="shared" si="0"/>
        <v>#VALUE!</v>
      </c>
      <c r="N48" s="155" t="s">
        <v>22</v>
      </c>
      <c r="O48" s="34" t="s">
        <v>19</v>
      </c>
    </row>
    <row r="49" spans="1:15" ht="15.6" x14ac:dyDescent="0.3">
      <c r="A49" s="148">
        <v>21</v>
      </c>
      <c r="B49" s="149" t="s">
        <v>123</v>
      </c>
      <c r="C49" s="149" t="s">
        <v>124</v>
      </c>
      <c r="D49" s="150"/>
      <c r="E49" s="151">
        <v>26</v>
      </c>
      <c r="F49" s="152">
        <v>8</v>
      </c>
      <c r="G49" s="153">
        <f t="shared" si="1"/>
        <v>0.30769230769230771</v>
      </c>
      <c r="H49" s="153">
        <v>0.31</v>
      </c>
      <c r="I49" s="153" t="s">
        <v>19</v>
      </c>
      <c r="J49" s="154" t="s">
        <v>20</v>
      </c>
      <c r="K49" s="154">
        <v>4.5999999999999996</v>
      </c>
      <c r="L49" s="175"/>
      <c r="M49" s="46" t="e">
        <f t="shared" si="0"/>
        <v>#VALUE!</v>
      </c>
      <c r="N49" s="155" t="s">
        <v>22</v>
      </c>
      <c r="O49" s="34" t="s">
        <v>19</v>
      </c>
    </row>
    <row r="50" spans="1:15" ht="31.2" x14ac:dyDescent="0.3">
      <c r="A50" s="148">
        <v>22</v>
      </c>
      <c r="B50" s="149" t="s">
        <v>125</v>
      </c>
      <c r="C50" s="149" t="s">
        <v>126</v>
      </c>
      <c r="D50" s="150"/>
      <c r="E50" s="151">
        <v>50</v>
      </c>
      <c r="F50" s="152">
        <v>6</v>
      </c>
      <c r="G50" s="153">
        <f t="shared" si="1"/>
        <v>0.12</v>
      </c>
      <c r="H50" s="153">
        <v>0.12</v>
      </c>
      <c r="I50" s="153" t="s">
        <v>19</v>
      </c>
      <c r="J50" s="154" t="s">
        <v>20</v>
      </c>
      <c r="K50" s="154" t="s">
        <v>20</v>
      </c>
      <c r="L50" s="175"/>
      <c r="M50" s="46" t="e">
        <f t="shared" si="0"/>
        <v>#VALUE!</v>
      </c>
      <c r="N50" s="155" t="s">
        <v>22</v>
      </c>
      <c r="O50" s="34" t="s">
        <v>19</v>
      </c>
    </row>
    <row r="51" spans="1:15" ht="15.6" x14ac:dyDescent="0.3">
      <c r="A51" s="148">
        <v>23</v>
      </c>
      <c r="B51" s="149" t="s">
        <v>127</v>
      </c>
      <c r="C51" s="149" t="s">
        <v>128</v>
      </c>
      <c r="D51" s="150"/>
      <c r="E51" s="151">
        <v>30</v>
      </c>
      <c r="F51" s="152">
        <v>5</v>
      </c>
      <c r="G51" s="153">
        <f t="shared" si="1"/>
        <v>0.16666666666666666</v>
      </c>
      <c r="H51" s="153">
        <v>0.17</v>
      </c>
      <c r="I51" s="153" t="s">
        <v>19</v>
      </c>
      <c r="J51" s="154" t="s">
        <v>20</v>
      </c>
      <c r="K51" s="154" t="s">
        <v>20</v>
      </c>
      <c r="L51" s="175"/>
      <c r="M51" s="46" t="e">
        <f t="shared" si="0"/>
        <v>#VALUE!</v>
      </c>
      <c r="N51" s="155" t="s">
        <v>22</v>
      </c>
      <c r="O51" s="34" t="s">
        <v>19</v>
      </c>
    </row>
    <row r="52" spans="1:15" ht="15.6" x14ac:dyDescent="0.3">
      <c r="A52" s="148">
        <v>24</v>
      </c>
      <c r="B52" s="221" t="s">
        <v>129</v>
      </c>
      <c r="C52" s="221" t="s">
        <v>130</v>
      </c>
      <c r="D52" s="221"/>
      <c r="E52" s="222">
        <v>30</v>
      </c>
      <c r="F52" s="221"/>
      <c r="G52" s="223"/>
      <c r="H52" s="223"/>
      <c r="I52" s="223"/>
      <c r="J52" s="224" t="s">
        <v>20</v>
      </c>
      <c r="K52" s="224" t="s">
        <v>20</v>
      </c>
      <c r="L52" s="225"/>
      <c r="M52" s="46" t="e">
        <f t="shared" si="0"/>
        <v>#VALUE!</v>
      </c>
      <c r="N52" s="226" t="s">
        <v>131</v>
      </c>
      <c r="O52" s="34" t="s">
        <v>19</v>
      </c>
    </row>
    <row r="53" spans="1:15" ht="15.6" x14ac:dyDescent="0.3">
      <c r="A53" s="148">
        <v>25</v>
      </c>
      <c r="B53" s="221" t="s">
        <v>132</v>
      </c>
      <c r="C53" s="221" t="s">
        <v>133</v>
      </c>
      <c r="D53" s="221"/>
      <c r="E53" s="222">
        <v>50</v>
      </c>
      <c r="F53" s="221"/>
      <c r="G53" s="223"/>
      <c r="H53" s="223"/>
      <c r="I53" s="223"/>
      <c r="J53" s="224" t="s">
        <v>20</v>
      </c>
      <c r="K53" s="224" t="s">
        <v>20</v>
      </c>
      <c r="L53" s="225"/>
      <c r="M53" s="46" t="e">
        <f t="shared" si="0"/>
        <v>#VALUE!</v>
      </c>
      <c r="N53" s="226" t="s">
        <v>131</v>
      </c>
      <c r="O53" s="34" t="s">
        <v>19</v>
      </c>
    </row>
    <row r="54" spans="1:15" ht="15.6" x14ac:dyDescent="0.3">
      <c r="A54" s="148">
        <v>26</v>
      </c>
      <c r="B54" s="221" t="s">
        <v>134</v>
      </c>
      <c r="C54" s="221" t="s">
        <v>135</v>
      </c>
      <c r="D54" s="221"/>
      <c r="E54" s="222">
        <v>50</v>
      </c>
      <c r="F54" s="221"/>
      <c r="G54" s="223"/>
      <c r="H54" s="223"/>
      <c r="I54" s="223"/>
      <c r="J54" s="224" t="s">
        <v>20</v>
      </c>
      <c r="K54" s="224" t="s">
        <v>20</v>
      </c>
      <c r="L54" s="225"/>
      <c r="M54" s="46" t="e">
        <f t="shared" si="0"/>
        <v>#VALUE!</v>
      </c>
      <c r="N54" s="226" t="s">
        <v>131</v>
      </c>
      <c r="O54" s="34" t="s">
        <v>19</v>
      </c>
    </row>
    <row r="55" spans="1:15" ht="15.6" x14ac:dyDescent="0.3">
      <c r="A55" s="148">
        <v>27</v>
      </c>
      <c r="B55" s="221" t="s">
        <v>136</v>
      </c>
      <c r="C55" s="221" t="s">
        <v>137</v>
      </c>
      <c r="D55" s="221"/>
      <c r="E55" s="222">
        <v>50</v>
      </c>
      <c r="F55" s="221"/>
      <c r="G55" s="223"/>
      <c r="H55" s="223"/>
      <c r="I55" s="223"/>
      <c r="J55" s="224" t="s">
        <v>20</v>
      </c>
      <c r="K55" s="224" t="s">
        <v>20</v>
      </c>
      <c r="L55" s="225"/>
      <c r="M55" s="46" t="e">
        <f t="shared" si="0"/>
        <v>#VALUE!</v>
      </c>
      <c r="N55" s="226" t="s">
        <v>131</v>
      </c>
      <c r="O55" s="34" t="s">
        <v>19</v>
      </c>
    </row>
    <row r="56" spans="1:15" ht="15.6" x14ac:dyDescent="0.3">
      <c r="A56" s="148">
        <v>28</v>
      </c>
      <c r="B56" s="176" t="s">
        <v>138</v>
      </c>
      <c r="C56" s="176" t="s">
        <v>60</v>
      </c>
      <c r="D56" s="176"/>
      <c r="E56" s="177">
        <v>30</v>
      </c>
      <c r="F56" s="176"/>
      <c r="G56" s="178"/>
      <c r="H56" s="178"/>
      <c r="I56" s="178"/>
      <c r="J56" s="179" t="s">
        <v>20</v>
      </c>
      <c r="K56" s="179" t="s">
        <v>20</v>
      </c>
      <c r="L56" s="180"/>
      <c r="M56" s="46" t="e">
        <f t="shared" si="0"/>
        <v>#VALUE!</v>
      </c>
      <c r="N56" s="181" t="s">
        <v>48</v>
      </c>
      <c r="O56" s="34" t="s">
        <v>19</v>
      </c>
    </row>
    <row r="57" spans="1:15" ht="15.6" x14ac:dyDescent="0.3">
      <c r="A57" s="148">
        <v>29</v>
      </c>
      <c r="B57" s="176" t="s">
        <v>139</v>
      </c>
      <c r="C57" s="176" t="s">
        <v>60</v>
      </c>
      <c r="D57" s="176"/>
      <c r="E57" s="177">
        <v>30</v>
      </c>
      <c r="F57" s="176"/>
      <c r="G57" s="178"/>
      <c r="H57" s="178"/>
      <c r="I57" s="178"/>
      <c r="J57" s="179" t="s">
        <v>20</v>
      </c>
      <c r="K57" s="179" t="s">
        <v>20</v>
      </c>
      <c r="L57" s="180"/>
      <c r="M57" s="46" t="e">
        <f t="shared" si="0"/>
        <v>#VALUE!</v>
      </c>
      <c r="N57" s="181" t="s">
        <v>48</v>
      </c>
      <c r="O57" s="34" t="s">
        <v>19</v>
      </c>
    </row>
    <row r="58" spans="1:15" ht="15.6" x14ac:dyDescent="0.3">
      <c r="A58" s="148">
        <v>30</v>
      </c>
      <c r="B58" s="176" t="s">
        <v>140</v>
      </c>
      <c r="C58" s="176" t="s">
        <v>141</v>
      </c>
      <c r="D58" s="176"/>
      <c r="E58" s="177"/>
      <c r="F58" s="176"/>
      <c r="G58" s="178"/>
      <c r="H58" s="178"/>
      <c r="I58" s="178"/>
      <c r="J58" s="179" t="s">
        <v>20</v>
      </c>
      <c r="K58" s="179" t="s">
        <v>20</v>
      </c>
      <c r="L58" s="180"/>
      <c r="M58" s="46" t="e">
        <f t="shared" si="0"/>
        <v>#VALUE!</v>
      </c>
      <c r="N58" s="181" t="s">
        <v>48</v>
      </c>
      <c r="O58" s="34" t="s">
        <v>19</v>
      </c>
    </row>
    <row r="59" spans="1:15" ht="15.6" x14ac:dyDescent="0.3">
      <c r="A59" s="148">
        <v>31</v>
      </c>
      <c r="B59" s="176" t="s">
        <v>142</v>
      </c>
      <c r="C59" s="176" t="s">
        <v>143</v>
      </c>
      <c r="D59" s="176"/>
      <c r="E59" s="177">
        <v>30</v>
      </c>
      <c r="F59" s="176"/>
      <c r="G59" s="178"/>
      <c r="H59" s="178"/>
      <c r="I59" s="178"/>
      <c r="J59" s="179" t="s">
        <v>20</v>
      </c>
      <c r="K59" s="179" t="s">
        <v>20</v>
      </c>
      <c r="L59" s="180"/>
      <c r="M59" s="46" t="e">
        <f t="shared" si="0"/>
        <v>#VALUE!</v>
      </c>
      <c r="N59" s="181" t="s">
        <v>48</v>
      </c>
      <c r="O59" s="34" t="s">
        <v>19</v>
      </c>
    </row>
    <row r="60" spans="1:15" ht="15.6" x14ac:dyDescent="0.3">
      <c r="A60" s="148">
        <v>32</v>
      </c>
      <c r="B60" s="176" t="s">
        <v>144</v>
      </c>
      <c r="C60" s="176" t="s">
        <v>145</v>
      </c>
      <c r="D60" s="176"/>
      <c r="E60" s="177"/>
      <c r="F60" s="176"/>
      <c r="G60" s="178"/>
      <c r="H60" s="178"/>
      <c r="I60" s="178"/>
      <c r="J60" s="179" t="s">
        <v>20</v>
      </c>
      <c r="K60" s="179" t="s">
        <v>20</v>
      </c>
      <c r="L60" s="180"/>
      <c r="M60" s="46" t="e">
        <f t="shared" si="0"/>
        <v>#VALUE!</v>
      </c>
      <c r="N60" s="181" t="s">
        <v>48</v>
      </c>
      <c r="O60" s="34" t="s">
        <v>19</v>
      </c>
    </row>
    <row r="61" spans="1:15" ht="15.6" x14ac:dyDescent="0.3">
      <c r="A61" s="148">
        <v>33</v>
      </c>
      <c r="B61" s="176" t="s">
        <v>146</v>
      </c>
      <c r="C61" s="176" t="s">
        <v>147</v>
      </c>
      <c r="D61" s="176"/>
      <c r="E61" s="177">
        <v>50</v>
      </c>
      <c r="F61" s="176"/>
      <c r="G61" s="178"/>
      <c r="H61" s="178"/>
      <c r="I61" s="178"/>
      <c r="J61" s="179" t="s">
        <v>20</v>
      </c>
      <c r="K61" s="179" t="s">
        <v>20</v>
      </c>
      <c r="L61" s="180"/>
      <c r="M61" s="46" t="e">
        <f t="shared" si="0"/>
        <v>#VALUE!</v>
      </c>
      <c r="N61" s="181" t="s">
        <v>48</v>
      </c>
      <c r="O61" s="34" t="s">
        <v>19</v>
      </c>
    </row>
    <row r="62" spans="1:15" ht="15.6" x14ac:dyDescent="0.3">
      <c r="A62" s="148">
        <v>34</v>
      </c>
      <c r="B62" s="176" t="s">
        <v>148</v>
      </c>
      <c r="C62" s="176" t="s">
        <v>149</v>
      </c>
      <c r="D62" s="176"/>
      <c r="E62" s="177">
        <v>30</v>
      </c>
      <c r="F62" s="176"/>
      <c r="G62" s="178"/>
      <c r="H62" s="178"/>
      <c r="I62" s="178"/>
      <c r="J62" s="179" t="s">
        <v>20</v>
      </c>
      <c r="K62" s="179" t="s">
        <v>20</v>
      </c>
      <c r="L62" s="180"/>
      <c r="M62" s="46" t="e">
        <f t="shared" si="0"/>
        <v>#VALUE!</v>
      </c>
      <c r="N62" s="181" t="s">
        <v>48</v>
      </c>
      <c r="O62" s="34" t="s">
        <v>19</v>
      </c>
    </row>
    <row r="63" spans="1:15" ht="15.6" x14ac:dyDescent="0.3">
      <c r="A63" s="148">
        <v>35</v>
      </c>
      <c r="B63" s="176" t="s">
        <v>150</v>
      </c>
      <c r="C63" s="176" t="s">
        <v>151</v>
      </c>
      <c r="D63" s="176"/>
      <c r="E63" s="177">
        <v>50</v>
      </c>
      <c r="F63" s="176"/>
      <c r="G63" s="178"/>
      <c r="H63" s="178"/>
      <c r="I63" s="178"/>
      <c r="J63" s="179" t="s">
        <v>20</v>
      </c>
      <c r="K63" s="179" t="s">
        <v>20</v>
      </c>
      <c r="L63" s="180"/>
      <c r="M63" s="46" t="e">
        <f t="shared" si="0"/>
        <v>#VALUE!</v>
      </c>
      <c r="N63" s="181" t="s">
        <v>48</v>
      </c>
      <c r="O63" s="34" t="s">
        <v>19</v>
      </c>
    </row>
    <row r="64" spans="1:15" ht="15.6" x14ac:dyDescent="0.3">
      <c r="A64" s="148">
        <v>36</v>
      </c>
      <c r="B64" s="176" t="s">
        <v>152</v>
      </c>
      <c r="C64" s="176" t="s">
        <v>153</v>
      </c>
      <c r="D64" s="176"/>
      <c r="E64" s="177">
        <v>50</v>
      </c>
      <c r="F64" s="176"/>
      <c r="G64" s="178"/>
      <c r="H64" s="178"/>
      <c r="I64" s="178"/>
      <c r="J64" s="179" t="s">
        <v>20</v>
      </c>
      <c r="K64" s="179" t="s">
        <v>20</v>
      </c>
      <c r="L64" s="180"/>
      <c r="M64" s="46" t="e">
        <f t="shared" si="0"/>
        <v>#VALUE!</v>
      </c>
      <c r="N64" s="181" t="s">
        <v>48</v>
      </c>
      <c r="O64" s="34" t="s">
        <v>19</v>
      </c>
    </row>
    <row r="65" spans="1:15" ht="15.6" x14ac:dyDescent="0.3">
      <c r="A65" s="148">
        <v>37</v>
      </c>
      <c r="B65" s="176" t="s">
        <v>154</v>
      </c>
      <c r="C65" s="176" t="s">
        <v>155</v>
      </c>
      <c r="D65" s="176"/>
      <c r="E65" s="177">
        <v>30</v>
      </c>
      <c r="F65" s="176"/>
      <c r="G65" s="178"/>
      <c r="H65" s="178"/>
      <c r="I65" s="178"/>
      <c r="J65" s="179" t="s">
        <v>20</v>
      </c>
      <c r="K65" s="179" t="s">
        <v>20</v>
      </c>
      <c r="L65" s="180"/>
      <c r="M65" s="46" t="e">
        <f t="shared" si="0"/>
        <v>#VALUE!</v>
      </c>
      <c r="N65" s="181" t="s">
        <v>48</v>
      </c>
      <c r="O65" s="34" t="s">
        <v>19</v>
      </c>
    </row>
    <row r="66" spans="1:15" ht="15.6" x14ac:dyDescent="0.3">
      <c r="A66" s="148">
        <v>38</v>
      </c>
      <c r="B66" s="176" t="s">
        <v>156</v>
      </c>
      <c r="C66" s="176" t="s">
        <v>157</v>
      </c>
      <c r="D66" s="176"/>
      <c r="E66" s="177">
        <v>30</v>
      </c>
      <c r="F66" s="176"/>
      <c r="G66" s="178"/>
      <c r="H66" s="178"/>
      <c r="I66" s="178"/>
      <c r="J66" s="179" t="s">
        <v>20</v>
      </c>
      <c r="K66" s="179" t="s">
        <v>20</v>
      </c>
      <c r="L66" s="180"/>
      <c r="M66" s="46" t="e">
        <f t="shared" si="0"/>
        <v>#VALUE!</v>
      </c>
      <c r="N66" s="181" t="s">
        <v>48</v>
      </c>
      <c r="O66" s="34" t="s">
        <v>19</v>
      </c>
    </row>
    <row r="67" spans="1:15" ht="16.2" thickBot="1" x14ac:dyDescent="0.35">
      <c r="A67" s="227">
        <v>39</v>
      </c>
      <c r="B67" s="228" t="s">
        <v>158</v>
      </c>
      <c r="C67" s="228" t="s">
        <v>159</v>
      </c>
      <c r="D67" s="228"/>
      <c r="E67" s="228"/>
      <c r="F67" s="228"/>
      <c r="G67" s="229"/>
      <c r="H67" s="229"/>
      <c r="I67" s="229"/>
      <c r="J67" s="230" t="s">
        <v>20</v>
      </c>
      <c r="K67" s="230" t="s">
        <v>20</v>
      </c>
      <c r="L67" s="231"/>
      <c r="M67" s="46" t="e">
        <f t="shared" si="0"/>
        <v>#VALUE!</v>
      </c>
      <c r="N67" s="232" t="s">
        <v>48</v>
      </c>
      <c r="O67" s="35" t="s">
        <v>19</v>
      </c>
    </row>
    <row r="68" spans="1:15" ht="15.6" x14ac:dyDescent="0.3">
      <c r="B68" s="233"/>
      <c r="C68" s="234"/>
      <c r="D68" s="234"/>
      <c r="E68" s="200"/>
      <c r="F68" s="208"/>
      <c r="G68" s="209"/>
      <c r="H68" s="209"/>
      <c r="I68" s="209"/>
      <c r="J68" s="209"/>
      <c r="K68" s="209"/>
      <c r="L68" s="210"/>
      <c r="M68" s="211"/>
      <c r="N68" s="233"/>
    </row>
    <row r="69" spans="1:15" ht="15.6" x14ac:dyDescent="0.3">
      <c r="B69" s="251" t="s">
        <v>160</v>
      </c>
      <c r="C69" s="251"/>
      <c r="D69" s="251"/>
      <c r="E69" s="251"/>
      <c r="F69" s="208"/>
      <c r="G69" s="209"/>
      <c r="H69" s="209"/>
      <c r="I69" s="209"/>
      <c r="J69" s="209"/>
      <c r="K69" s="209"/>
      <c r="L69" s="210"/>
      <c r="M69" s="211"/>
      <c r="N69" s="233"/>
    </row>
    <row r="70" spans="1:15" ht="15.6" x14ac:dyDescent="0.3">
      <c r="B70" s="201" t="s">
        <v>79</v>
      </c>
      <c r="C70" s="157" t="s">
        <v>161</v>
      </c>
      <c r="D70" s="262" t="s">
        <v>162</v>
      </c>
      <c r="E70" s="262"/>
      <c r="F70" s="257" t="s">
        <v>163</v>
      </c>
      <c r="G70" s="257"/>
      <c r="H70" s="209"/>
      <c r="I70" s="209"/>
      <c r="J70" s="209"/>
      <c r="K70" s="209"/>
      <c r="L70" s="210"/>
      <c r="M70" s="211"/>
      <c r="N70" s="233"/>
    </row>
    <row r="71" spans="1:15" ht="15.6" customHeight="1" x14ac:dyDescent="0.3">
      <c r="B71" s="202" t="s">
        <v>164</v>
      </c>
      <c r="C71" s="182" t="s">
        <v>165</v>
      </c>
      <c r="D71" s="252" t="s">
        <v>166</v>
      </c>
      <c r="E71" s="252"/>
      <c r="F71" s="208"/>
      <c r="G71" s="209"/>
      <c r="H71" s="209"/>
      <c r="I71" s="209"/>
      <c r="J71" s="209"/>
      <c r="K71" s="209"/>
      <c r="L71" s="210"/>
      <c r="M71" s="211"/>
      <c r="N71" s="233"/>
    </row>
    <row r="72" spans="1:15" ht="15.6" x14ac:dyDescent="0.3">
      <c r="B72" s="166" t="s">
        <v>167</v>
      </c>
      <c r="C72" s="207" t="s">
        <v>168</v>
      </c>
      <c r="D72" s="252"/>
      <c r="E72" s="252"/>
      <c r="F72" s="208"/>
      <c r="G72" s="209"/>
      <c r="H72" s="209"/>
      <c r="I72" s="209"/>
      <c r="J72" s="209"/>
      <c r="K72" s="209"/>
      <c r="L72" s="210"/>
      <c r="M72" s="211"/>
      <c r="N72" s="233"/>
    </row>
    <row r="74" spans="1:15" ht="23.4" x14ac:dyDescent="0.3">
      <c r="A74" s="253" t="s">
        <v>169</v>
      </c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</row>
    <row r="75" spans="1:15" ht="62.4" x14ac:dyDescent="0.3">
      <c r="A75" s="8" t="s">
        <v>2</v>
      </c>
      <c r="B75" s="7" t="s">
        <v>3</v>
      </c>
      <c r="C75" s="7" t="s">
        <v>4</v>
      </c>
      <c r="D75" s="7" t="s">
        <v>5</v>
      </c>
      <c r="E75" s="20" t="s">
        <v>6</v>
      </c>
      <c r="F75" s="20" t="s">
        <v>7</v>
      </c>
      <c r="G75" s="22" t="s">
        <v>170</v>
      </c>
      <c r="H75" s="22" t="s">
        <v>89</v>
      </c>
      <c r="I75" s="22" t="s">
        <v>90</v>
      </c>
      <c r="J75" s="22"/>
      <c r="K75" s="22"/>
      <c r="L75" s="42"/>
      <c r="M75" s="37"/>
      <c r="N75" s="27" t="s">
        <v>94</v>
      </c>
      <c r="O75" s="20" t="s">
        <v>95</v>
      </c>
    </row>
    <row r="76" spans="1:15" ht="15.6" x14ac:dyDescent="0.3">
      <c r="A76" s="9">
        <v>1</v>
      </c>
      <c r="B76" s="235" t="s">
        <v>171</v>
      </c>
      <c r="C76" s="236"/>
      <c r="D76" s="237" t="s">
        <v>172</v>
      </c>
      <c r="E76" s="238" t="s">
        <v>173</v>
      </c>
      <c r="F76" s="239" t="s">
        <v>173</v>
      </c>
      <c r="G76" s="240">
        <v>1</v>
      </c>
      <c r="H76" s="240">
        <v>1</v>
      </c>
      <c r="I76" s="240" t="s">
        <v>19</v>
      </c>
      <c r="J76" s="240"/>
      <c r="K76" s="240"/>
      <c r="L76" s="241"/>
      <c r="M76" s="242"/>
      <c r="N76" s="243" t="s">
        <v>174</v>
      </c>
      <c r="O76" s="30" t="s">
        <v>175</v>
      </c>
    </row>
    <row r="77" spans="1:15" ht="15.6" x14ac:dyDescent="0.3">
      <c r="A77" s="9">
        <v>2</v>
      </c>
      <c r="B77" s="244" t="s">
        <v>176</v>
      </c>
      <c r="C77" s="245" t="s">
        <v>147</v>
      </c>
      <c r="D77" s="246" t="s">
        <v>177</v>
      </c>
      <c r="E77" s="184" t="s">
        <v>173</v>
      </c>
      <c r="F77" s="185" t="s">
        <v>173</v>
      </c>
      <c r="G77" s="186">
        <v>1</v>
      </c>
      <c r="H77" s="186">
        <v>1</v>
      </c>
      <c r="I77" s="186" t="s">
        <v>19</v>
      </c>
      <c r="J77" s="186"/>
      <c r="K77" s="186"/>
      <c r="L77" s="188"/>
      <c r="M77" s="247"/>
      <c r="N77" s="248" t="s">
        <v>178</v>
      </c>
      <c r="O77" s="31"/>
    </row>
    <row r="78" spans="1:15" ht="15.6" x14ac:dyDescent="0.3">
      <c r="A78" s="9">
        <v>3</v>
      </c>
      <c r="B78" s="244" t="s">
        <v>179</v>
      </c>
      <c r="C78" s="245" t="s">
        <v>180</v>
      </c>
      <c r="D78" s="246" t="s">
        <v>181</v>
      </c>
      <c r="E78" s="184" t="s">
        <v>173</v>
      </c>
      <c r="F78" s="185" t="s">
        <v>173</v>
      </c>
      <c r="G78" s="186">
        <v>1</v>
      </c>
      <c r="H78" s="186">
        <v>1</v>
      </c>
      <c r="I78" s="186" t="s">
        <v>19</v>
      </c>
      <c r="J78" s="186"/>
      <c r="K78" s="186"/>
      <c r="L78" s="188"/>
      <c r="M78" s="247"/>
      <c r="N78" s="248" t="s">
        <v>178</v>
      </c>
      <c r="O78" s="31"/>
    </row>
    <row r="79" spans="1:15" ht="15.6" x14ac:dyDescent="0.3">
      <c r="A79" s="9">
        <v>4</v>
      </c>
      <c r="B79" s="244" t="s">
        <v>182</v>
      </c>
      <c r="C79" s="245" t="s">
        <v>147</v>
      </c>
      <c r="D79" s="246" t="s">
        <v>183</v>
      </c>
      <c r="E79" s="184" t="s">
        <v>173</v>
      </c>
      <c r="F79" s="185" t="s">
        <v>173</v>
      </c>
      <c r="G79" s="186">
        <v>1</v>
      </c>
      <c r="H79" s="186">
        <v>1</v>
      </c>
      <c r="I79" s="186" t="s">
        <v>19</v>
      </c>
      <c r="J79" s="186"/>
      <c r="K79" s="186"/>
      <c r="L79" s="188"/>
      <c r="M79" s="247"/>
      <c r="N79" s="248" t="s">
        <v>178</v>
      </c>
      <c r="O79" s="31"/>
    </row>
    <row r="80" spans="1:15" ht="15.6" x14ac:dyDescent="0.3">
      <c r="A80" s="9">
        <v>5</v>
      </c>
      <c r="B80" s="244" t="s">
        <v>184</v>
      </c>
      <c r="C80" s="245" t="s">
        <v>185</v>
      </c>
      <c r="D80" s="246" t="s">
        <v>186</v>
      </c>
      <c r="E80" s="184" t="s">
        <v>173</v>
      </c>
      <c r="F80" s="185" t="s">
        <v>173</v>
      </c>
      <c r="G80" s="186">
        <v>1</v>
      </c>
      <c r="H80" s="186">
        <v>1</v>
      </c>
      <c r="I80" s="186" t="s">
        <v>19</v>
      </c>
      <c r="J80" s="186"/>
      <c r="K80" s="186"/>
      <c r="L80" s="188"/>
      <c r="M80" s="247"/>
      <c r="N80" s="248" t="s">
        <v>178</v>
      </c>
      <c r="O80" s="31"/>
    </row>
    <row r="81" spans="1:15" ht="31.2" x14ac:dyDescent="0.3">
      <c r="A81" s="9">
        <v>6</v>
      </c>
      <c r="B81" s="244" t="s">
        <v>187</v>
      </c>
      <c r="C81" s="245" t="s">
        <v>188</v>
      </c>
      <c r="D81" s="246" t="s">
        <v>189</v>
      </c>
      <c r="E81" s="184" t="s">
        <v>173</v>
      </c>
      <c r="F81" s="185" t="s">
        <v>173</v>
      </c>
      <c r="G81" s="186">
        <v>1</v>
      </c>
      <c r="H81" s="186">
        <v>1</v>
      </c>
      <c r="I81" s="186" t="s">
        <v>19</v>
      </c>
      <c r="J81" s="186"/>
      <c r="K81" s="186"/>
      <c r="L81" s="188"/>
      <c r="M81" s="247"/>
      <c r="N81" s="248" t="s">
        <v>178</v>
      </c>
      <c r="O81" s="31"/>
    </row>
    <row r="82" spans="1:15" ht="15.6" x14ac:dyDescent="0.3">
      <c r="A82" s="9">
        <v>7</v>
      </c>
      <c r="B82" s="149" t="s">
        <v>190</v>
      </c>
      <c r="C82" s="149" t="s">
        <v>191</v>
      </c>
      <c r="D82" s="150" t="s">
        <v>189</v>
      </c>
      <c r="E82" s="151" t="s">
        <v>173</v>
      </c>
      <c r="F82" s="152" t="s">
        <v>173</v>
      </c>
      <c r="G82" s="153">
        <v>0.75</v>
      </c>
      <c r="H82" s="153">
        <v>0.75</v>
      </c>
      <c r="I82" s="153" t="s">
        <v>19</v>
      </c>
      <c r="J82" s="153"/>
      <c r="K82" s="153"/>
      <c r="L82" s="175"/>
      <c r="M82" s="249"/>
      <c r="N82" s="250" t="s">
        <v>192</v>
      </c>
      <c r="O82" s="31"/>
    </row>
    <row r="83" spans="1:15" ht="15.6" x14ac:dyDescent="0.3">
      <c r="A83" s="9">
        <v>8</v>
      </c>
      <c r="B83" s="149" t="s">
        <v>193</v>
      </c>
      <c r="C83" s="149" t="s">
        <v>151</v>
      </c>
      <c r="D83" s="150" t="s">
        <v>189</v>
      </c>
      <c r="E83" s="151" t="s">
        <v>173</v>
      </c>
      <c r="F83" s="152" t="s">
        <v>173</v>
      </c>
      <c r="G83" s="153">
        <v>0.75</v>
      </c>
      <c r="H83" s="153">
        <v>0.75</v>
      </c>
      <c r="I83" s="153" t="s">
        <v>19</v>
      </c>
      <c r="J83" s="153"/>
      <c r="K83" s="153"/>
      <c r="L83" s="175"/>
      <c r="M83" s="249"/>
      <c r="N83" s="250" t="s">
        <v>194</v>
      </c>
      <c r="O83" s="31"/>
    </row>
    <row r="84" spans="1:15" ht="15.6" x14ac:dyDescent="0.3">
      <c r="A84" s="9">
        <v>9</v>
      </c>
      <c r="B84" s="149" t="s">
        <v>195</v>
      </c>
      <c r="C84" s="149" t="s">
        <v>196</v>
      </c>
      <c r="D84" s="150" t="s">
        <v>189</v>
      </c>
      <c r="E84" s="151" t="s">
        <v>173</v>
      </c>
      <c r="F84" s="152" t="s">
        <v>173</v>
      </c>
      <c r="G84" s="153">
        <v>0.75</v>
      </c>
      <c r="H84" s="153">
        <v>0.75</v>
      </c>
      <c r="I84" s="153" t="s">
        <v>19</v>
      </c>
      <c r="J84" s="153"/>
      <c r="K84" s="153"/>
      <c r="L84" s="175"/>
      <c r="M84" s="249"/>
      <c r="N84" s="250" t="s">
        <v>194</v>
      </c>
      <c r="O84" s="31"/>
    </row>
    <row r="85" spans="1:15" ht="31.2" x14ac:dyDescent="0.3">
      <c r="A85" s="9">
        <v>10</v>
      </c>
      <c r="B85" s="13" t="s">
        <v>197</v>
      </c>
      <c r="C85" s="13" t="s">
        <v>198</v>
      </c>
      <c r="D85" s="3" t="s">
        <v>189</v>
      </c>
      <c r="E85" s="5" t="s">
        <v>173</v>
      </c>
      <c r="F85" s="5" t="s">
        <v>173</v>
      </c>
      <c r="G85" s="24"/>
      <c r="H85" s="24"/>
      <c r="I85" s="24"/>
      <c r="J85" s="24"/>
      <c r="K85" s="24"/>
      <c r="L85" s="44"/>
      <c r="M85" s="39"/>
      <c r="N85" s="28" t="s">
        <v>199</v>
      </c>
      <c r="O85" s="31"/>
    </row>
    <row r="86" spans="1:15" ht="31.2" x14ac:dyDescent="0.3">
      <c r="A86" s="9">
        <v>11</v>
      </c>
      <c r="B86" s="13" t="s">
        <v>200</v>
      </c>
      <c r="C86" s="13" t="s">
        <v>201</v>
      </c>
      <c r="D86" s="3" t="s">
        <v>189</v>
      </c>
      <c r="E86" s="5" t="s">
        <v>173</v>
      </c>
      <c r="F86" s="5" t="s">
        <v>173</v>
      </c>
      <c r="G86" s="24"/>
      <c r="H86" s="24"/>
      <c r="I86" s="24"/>
      <c r="J86" s="24"/>
      <c r="K86" s="24"/>
      <c r="L86" s="44"/>
      <c r="M86" s="39"/>
      <c r="N86" s="28" t="s">
        <v>199</v>
      </c>
      <c r="O86" s="31"/>
    </row>
    <row r="87" spans="1:15" ht="31.2" x14ac:dyDescent="0.3">
      <c r="A87" s="9">
        <v>12</v>
      </c>
      <c r="B87" s="13" t="s">
        <v>202</v>
      </c>
      <c r="C87" s="13" t="s">
        <v>203</v>
      </c>
      <c r="D87" s="3" t="s">
        <v>189</v>
      </c>
      <c r="E87" s="5" t="s">
        <v>173</v>
      </c>
      <c r="F87" s="5" t="s">
        <v>173</v>
      </c>
      <c r="G87" s="24"/>
      <c r="H87" s="24"/>
      <c r="I87" s="24"/>
      <c r="J87" s="24"/>
      <c r="K87" s="24"/>
      <c r="L87" s="44"/>
      <c r="M87" s="39"/>
      <c r="N87" s="28" t="s">
        <v>199</v>
      </c>
      <c r="O87" s="31"/>
    </row>
    <row r="88" spans="1:15" ht="31.8" thickBot="1" x14ac:dyDescent="0.35">
      <c r="A88" s="10">
        <v>13</v>
      </c>
      <c r="B88" s="14" t="s">
        <v>204</v>
      </c>
      <c r="C88" s="14" t="s">
        <v>151</v>
      </c>
      <c r="D88" s="11" t="s">
        <v>189</v>
      </c>
      <c r="E88" s="12" t="s">
        <v>173</v>
      </c>
      <c r="F88" s="12" t="s">
        <v>173</v>
      </c>
      <c r="G88" s="25"/>
      <c r="H88" s="25"/>
      <c r="I88" s="25"/>
      <c r="J88" s="25"/>
      <c r="K88" s="25"/>
      <c r="L88" s="45"/>
      <c r="M88" s="40"/>
      <c r="N88" s="29" t="s">
        <v>199</v>
      </c>
      <c r="O88" s="32"/>
    </row>
    <row r="90" spans="1:15" ht="15" thickBot="1" x14ac:dyDescent="0.35"/>
    <row r="91" spans="1:15" ht="16.2" thickBot="1" x14ac:dyDescent="0.35">
      <c r="B91" s="15" t="s">
        <v>205</v>
      </c>
      <c r="C91" s="16"/>
      <c r="D91" s="266" t="s">
        <v>57</v>
      </c>
      <c r="E91" s="267"/>
    </row>
    <row r="92" spans="1:15" ht="16.2" thickBot="1" x14ac:dyDescent="0.35">
      <c r="B92" s="16"/>
      <c r="C92" s="16"/>
      <c r="D92" s="16"/>
      <c r="E92" s="16"/>
    </row>
    <row r="93" spans="1:15" ht="16.2" thickBot="1" x14ac:dyDescent="0.35">
      <c r="B93" s="17" t="s">
        <v>206</v>
      </c>
      <c r="C93" s="16"/>
      <c r="D93" s="263" t="s">
        <v>207</v>
      </c>
      <c r="E93" s="264"/>
    </row>
    <row r="94" spans="1:15" ht="16.2" thickBot="1" x14ac:dyDescent="0.35">
      <c r="B94" s="16"/>
      <c r="C94" s="16"/>
      <c r="D94" s="16"/>
      <c r="E94" s="16"/>
      <c r="N94" s="1"/>
    </row>
    <row r="95" spans="1:15" ht="16.2" thickBot="1" x14ac:dyDescent="0.35">
      <c r="B95" s="18" t="s">
        <v>43</v>
      </c>
      <c r="C95" s="16"/>
      <c r="D95" s="258" t="s">
        <v>131</v>
      </c>
      <c r="E95" s="259"/>
      <c r="N95" s="1"/>
    </row>
    <row r="96" spans="1:15" ht="16.2" thickBot="1" x14ac:dyDescent="0.35">
      <c r="B96" s="16"/>
      <c r="C96" s="16"/>
      <c r="D96" s="16"/>
      <c r="E96" s="16"/>
      <c r="N96" s="1"/>
    </row>
    <row r="97" spans="2:14" ht="16.2" thickBot="1" x14ac:dyDescent="0.35">
      <c r="B97" s="19" t="s">
        <v>61</v>
      </c>
      <c r="C97" s="16"/>
      <c r="D97" s="260" t="s">
        <v>48</v>
      </c>
      <c r="E97" s="261"/>
    </row>
    <row r="99" spans="2:14" x14ac:dyDescent="0.3">
      <c r="N99" s="1"/>
    </row>
    <row r="100" spans="2:14" x14ac:dyDescent="0.3">
      <c r="N100" s="1"/>
    </row>
    <row r="101" spans="2:14" x14ac:dyDescent="0.3">
      <c r="N101" s="1"/>
    </row>
    <row r="102" spans="2:14" x14ac:dyDescent="0.3">
      <c r="N102" s="1"/>
    </row>
    <row r="103" spans="2:14" x14ac:dyDescent="0.3">
      <c r="N103" s="1"/>
    </row>
    <row r="105" spans="2:14" x14ac:dyDescent="0.3">
      <c r="N105" s="1"/>
    </row>
    <row r="106" spans="2:14" x14ac:dyDescent="0.3">
      <c r="N106" s="1"/>
    </row>
    <row r="107" spans="2:14" x14ac:dyDescent="0.3">
      <c r="N107" s="1"/>
    </row>
    <row r="108" spans="2:14" x14ac:dyDescent="0.3">
      <c r="N108" s="1"/>
    </row>
    <row r="109" spans="2:14" x14ac:dyDescent="0.3">
      <c r="N109" s="1"/>
    </row>
    <row r="110" spans="2:14" x14ac:dyDescent="0.3">
      <c r="N110" s="1"/>
    </row>
    <row r="111" spans="2:14" x14ac:dyDescent="0.3">
      <c r="N111" s="1"/>
    </row>
    <row r="112" spans="2:14" x14ac:dyDescent="0.3">
      <c r="N112" s="1"/>
    </row>
    <row r="113" spans="14:14" x14ac:dyDescent="0.3">
      <c r="N113" s="1"/>
    </row>
    <row r="114" spans="14:14" x14ac:dyDescent="0.3">
      <c r="N114" s="1"/>
    </row>
    <row r="115" spans="14:14" x14ac:dyDescent="0.3">
      <c r="N115" s="1"/>
    </row>
    <row r="116" spans="14:14" x14ac:dyDescent="0.3">
      <c r="N116" s="1"/>
    </row>
    <row r="117" spans="14:14" x14ac:dyDescent="0.3">
      <c r="N117" s="1"/>
    </row>
    <row r="118" spans="14:14" x14ac:dyDescent="0.3">
      <c r="N118" s="1"/>
    </row>
    <row r="119" spans="14:14" x14ac:dyDescent="0.3">
      <c r="N119" s="1"/>
    </row>
    <row r="120" spans="14:14" x14ac:dyDescent="0.3">
      <c r="N120" s="1"/>
    </row>
    <row r="121" spans="14:14" x14ac:dyDescent="0.3">
      <c r="N121" s="1"/>
    </row>
  </sheetData>
  <sortState xmlns:xlrd2="http://schemas.microsoft.com/office/spreadsheetml/2017/richdata2" ref="A5:O29">
    <sortCondition descending="1" ref="J5:J29"/>
  </sortState>
  <mergeCells count="15">
    <mergeCell ref="D95:E95"/>
    <mergeCell ref="D97:E97"/>
    <mergeCell ref="D32:E32"/>
    <mergeCell ref="B69:E69"/>
    <mergeCell ref="D70:E70"/>
    <mergeCell ref="D93:E93"/>
    <mergeCell ref="A36:O36"/>
    <mergeCell ref="A74:O74"/>
    <mergeCell ref="D91:E91"/>
    <mergeCell ref="B31:E31"/>
    <mergeCell ref="D33:E34"/>
    <mergeCell ref="D71:E72"/>
    <mergeCell ref="A3:O3"/>
    <mergeCell ref="A1:O1"/>
    <mergeCell ref="F70:G70"/>
  </mergeCells>
  <pageMargins left="0.39370078740157483" right="0.39370078740157483" top="0.39370078740157483" bottom="0.39370078740157483" header="0.31496062992125984" footer="0.31496062992125984"/>
  <pageSetup paperSize="9" scale="66" orientation="landscape" r:id="rId1"/>
  <rowBreaks count="2" manualBreakCount="2">
    <brk id="35" max="16383" man="1"/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DDB3-DEE8-A14E-B01A-AAF1D7FD8D8E}">
  <dimension ref="C5:K58"/>
  <sheetViews>
    <sheetView workbookViewId="0">
      <selection activeCell="K26" sqref="K26"/>
    </sheetView>
  </sheetViews>
  <sheetFormatPr defaultColWidth="11.44140625" defaultRowHeight="21" x14ac:dyDescent="0.3"/>
  <cols>
    <col min="3" max="3" width="4" style="129" bestFit="1" customWidth="1"/>
    <col min="4" max="4" width="23.44140625" bestFit="1" customWidth="1"/>
    <col min="5" max="5" width="18.109375" customWidth="1"/>
    <col min="6" max="6" width="16.44140625" bestFit="1" customWidth="1"/>
    <col min="7" max="7" width="11.33203125" bestFit="1" customWidth="1"/>
    <col min="8" max="8" width="11.109375" bestFit="1" customWidth="1"/>
    <col min="9" max="9" width="9.109375" bestFit="1" customWidth="1"/>
    <col min="10" max="10" width="11.88671875" bestFit="1" customWidth="1"/>
    <col min="11" max="11" width="36.44140625" bestFit="1" customWidth="1"/>
  </cols>
  <sheetData>
    <row r="5" spans="3:11" ht="21.6" thickBot="1" x14ac:dyDescent="0.35"/>
    <row r="6" spans="3:11" ht="26.4" thickBot="1" x14ac:dyDescent="0.55000000000000004">
      <c r="C6" s="268" t="s">
        <v>208</v>
      </c>
      <c r="D6" s="269"/>
      <c r="E6" s="269"/>
      <c r="F6" s="269"/>
      <c r="G6" s="269"/>
      <c r="H6" s="269"/>
      <c r="I6" s="269"/>
      <c r="J6" s="269"/>
      <c r="K6" s="270"/>
    </row>
    <row r="7" spans="3:11" ht="21.6" thickBot="1" x14ac:dyDescent="0.35">
      <c r="C7" s="78" t="s">
        <v>209</v>
      </c>
      <c r="D7" s="73" t="s">
        <v>210</v>
      </c>
      <c r="E7" s="70" t="s">
        <v>211</v>
      </c>
      <c r="F7" s="71" t="s">
        <v>212</v>
      </c>
      <c r="G7" s="71" t="s">
        <v>213</v>
      </c>
      <c r="H7" s="71" t="s">
        <v>214</v>
      </c>
      <c r="I7" s="71" t="s">
        <v>215</v>
      </c>
      <c r="J7" s="71" t="s">
        <v>216</v>
      </c>
      <c r="K7" s="72" t="s">
        <v>217</v>
      </c>
    </row>
    <row r="8" spans="3:11" ht="54" customHeight="1" x14ac:dyDescent="0.3">
      <c r="C8" s="79">
        <v>1</v>
      </c>
      <c r="D8" s="74" t="s">
        <v>53</v>
      </c>
      <c r="E8" s="65" t="s">
        <v>54</v>
      </c>
      <c r="F8" s="66">
        <v>0.56000000000000005</v>
      </c>
      <c r="G8" s="67">
        <v>8.3000000000000007</v>
      </c>
      <c r="H8" s="67">
        <v>8</v>
      </c>
      <c r="I8" s="67" t="s">
        <v>20</v>
      </c>
      <c r="J8" s="68">
        <v>8.15</v>
      </c>
      <c r="K8" s="69" t="s">
        <v>22</v>
      </c>
    </row>
    <row r="9" spans="3:11" ht="54" customHeight="1" x14ac:dyDescent="0.3">
      <c r="C9" s="80">
        <v>2</v>
      </c>
      <c r="D9" s="75" t="s">
        <v>31</v>
      </c>
      <c r="E9" s="48" t="s">
        <v>32</v>
      </c>
      <c r="F9" s="49">
        <v>0.95</v>
      </c>
      <c r="G9" s="50" t="s">
        <v>20</v>
      </c>
      <c r="H9" s="50">
        <v>9</v>
      </c>
      <c r="I9" s="51">
        <v>6.6</v>
      </c>
      <c r="J9" s="47">
        <v>7.8</v>
      </c>
      <c r="K9" s="56" t="s">
        <v>34</v>
      </c>
    </row>
    <row r="10" spans="3:11" ht="54" customHeight="1" x14ac:dyDescent="0.3">
      <c r="C10" s="80">
        <v>3</v>
      </c>
      <c r="D10" s="75" t="s">
        <v>35</v>
      </c>
      <c r="E10" s="48" t="s">
        <v>36</v>
      </c>
      <c r="F10" s="49">
        <v>0.69</v>
      </c>
      <c r="G10" s="50" t="s">
        <v>20</v>
      </c>
      <c r="H10" s="50">
        <v>8.6999999999999993</v>
      </c>
      <c r="I10" s="51">
        <v>5.6</v>
      </c>
      <c r="J10" s="47">
        <v>7.15</v>
      </c>
      <c r="K10" s="57" t="s">
        <v>38</v>
      </c>
    </row>
    <row r="11" spans="3:11" ht="54" customHeight="1" x14ac:dyDescent="0.3">
      <c r="C11" s="80">
        <v>4</v>
      </c>
      <c r="D11" s="76" t="s">
        <v>55</v>
      </c>
      <c r="E11" s="52" t="s">
        <v>218</v>
      </c>
      <c r="F11" s="53">
        <v>1</v>
      </c>
      <c r="G11" s="54">
        <v>7.9</v>
      </c>
      <c r="H11" s="54">
        <v>8.1999999999999993</v>
      </c>
      <c r="I11" s="55">
        <v>4.8</v>
      </c>
      <c r="J11" s="47">
        <v>6.97</v>
      </c>
      <c r="K11" s="58" t="s">
        <v>57</v>
      </c>
    </row>
    <row r="12" spans="3:11" ht="54" customHeight="1" thickBot="1" x14ac:dyDescent="0.35">
      <c r="C12" s="81">
        <v>5</v>
      </c>
      <c r="D12" s="77" t="s">
        <v>68</v>
      </c>
      <c r="E12" s="59" t="s">
        <v>18</v>
      </c>
      <c r="F12" s="60">
        <v>0.9</v>
      </c>
      <c r="G12" s="61">
        <v>3.3</v>
      </c>
      <c r="H12" s="61">
        <v>9.1</v>
      </c>
      <c r="I12" s="62">
        <v>7.4</v>
      </c>
      <c r="J12" s="63">
        <v>6.6</v>
      </c>
      <c r="K12" s="64" t="s">
        <v>30</v>
      </c>
    </row>
    <row r="15" spans="3:11" ht="21.6" thickBot="1" x14ac:dyDescent="0.35"/>
    <row r="16" spans="3:11" ht="26.4" thickBot="1" x14ac:dyDescent="0.55000000000000004">
      <c r="C16" s="268" t="s">
        <v>219</v>
      </c>
      <c r="D16" s="269"/>
      <c r="E16" s="269"/>
      <c r="F16" s="269"/>
      <c r="G16" s="269"/>
      <c r="H16" s="269"/>
      <c r="I16" s="269"/>
      <c r="J16" s="269"/>
      <c r="K16" s="270"/>
    </row>
    <row r="17" spans="3:11" ht="36.9" customHeight="1" thickBot="1" x14ac:dyDescent="0.35">
      <c r="C17" s="82" t="s">
        <v>209</v>
      </c>
      <c r="D17" s="73" t="s">
        <v>210</v>
      </c>
      <c r="E17" s="70" t="s">
        <v>211</v>
      </c>
      <c r="F17" s="71" t="s">
        <v>212</v>
      </c>
      <c r="G17" s="71" t="s">
        <v>213</v>
      </c>
      <c r="H17" s="71" t="s">
        <v>214</v>
      </c>
      <c r="I17" s="71" t="s">
        <v>215</v>
      </c>
      <c r="J17" s="71" t="s">
        <v>216</v>
      </c>
      <c r="K17" s="72" t="s">
        <v>217</v>
      </c>
    </row>
    <row r="18" spans="3:11" ht="54" customHeight="1" thickTop="1" x14ac:dyDescent="0.3">
      <c r="C18" s="130">
        <v>1</v>
      </c>
      <c r="D18" s="83" t="s">
        <v>17</v>
      </c>
      <c r="E18" s="84" t="s">
        <v>18</v>
      </c>
      <c r="F18" s="85">
        <v>0.31</v>
      </c>
      <c r="G18" s="86" t="s">
        <v>20</v>
      </c>
      <c r="H18" s="86">
        <v>9.6</v>
      </c>
      <c r="I18" s="86" t="s">
        <v>20</v>
      </c>
      <c r="J18" s="87" t="s">
        <v>21</v>
      </c>
      <c r="K18" s="88" t="s">
        <v>22</v>
      </c>
    </row>
    <row r="19" spans="3:11" ht="54" customHeight="1" x14ac:dyDescent="0.3">
      <c r="C19" s="80">
        <v>2</v>
      </c>
      <c r="D19" s="89" t="s">
        <v>68</v>
      </c>
      <c r="E19" s="90" t="s">
        <v>18</v>
      </c>
      <c r="F19" s="91">
        <v>0.9</v>
      </c>
      <c r="G19" s="92">
        <v>3.3</v>
      </c>
      <c r="H19" s="92">
        <v>9.1</v>
      </c>
      <c r="I19" s="93">
        <v>7.4</v>
      </c>
      <c r="J19" s="87">
        <f>(G19+H19+I19)/3</f>
        <v>6.5999999999999988</v>
      </c>
      <c r="K19" s="94" t="s">
        <v>30</v>
      </c>
    </row>
    <row r="20" spans="3:11" ht="54" customHeight="1" x14ac:dyDescent="0.3">
      <c r="C20" s="80">
        <v>3</v>
      </c>
      <c r="D20" s="95" t="s">
        <v>31</v>
      </c>
      <c r="E20" s="96" t="s">
        <v>32</v>
      </c>
      <c r="F20" s="97">
        <v>0.95</v>
      </c>
      <c r="G20" s="98" t="s">
        <v>20</v>
      </c>
      <c r="H20" s="98">
        <v>9</v>
      </c>
      <c r="I20" s="99">
        <v>6.6</v>
      </c>
      <c r="J20" s="87">
        <f>(H20+I20)/2</f>
        <v>7.8</v>
      </c>
      <c r="K20" s="100" t="s">
        <v>34</v>
      </c>
    </row>
    <row r="21" spans="3:11" ht="54" customHeight="1" x14ac:dyDescent="0.3">
      <c r="C21" s="80">
        <v>4</v>
      </c>
      <c r="D21" s="83" t="s">
        <v>66</v>
      </c>
      <c r="E21" s="84" t="s">
        <v>67</v>
      </c>
      <c r="F21" s="85">
        <v>0.63</v>
      </c>
      <c r="G21" s="86">
        <v>3.8</v>
      </c>
      <c r="H21" s="86">
        <v>8.8000000000000007</v>
      </c>
      <c r="I21" s="101">
        <v>6</v>
      </c>
      <c r="J21" s="87">
        <f>(G21+H21+I21)/3</f>
        <v>6.2</v>
      </c>
      <c r="K21" s="88" t="s">
        <v>22</v>
      </c>
    </row>
    <row r="22" spans="3:11" ht="54" customHeight="1" thickBot="1" x14ac:dyDescent="0.35">
      <c r="C22" s="81">
        <v>5</v>
      </c>
      <c r="D22" s="102" t="s">
        <v>35</v>
      </c>
      <c r="E22" s="103" t="s">
        <v>36</v>
      </c>
      <c r="F22" s="104">
        <v>0.69</v>
      </c>
      <c r="G22" s="105" t="s">
        <v>20</v>
      </c>
      <c r="H22" s="105">
        <v>8.6999999999999993</v>
      </c>
      <c r="I22" s="106">
        <v>5.6</v>
      </c>
      <c r="J22" s="107">
        <f>(H22+I22)/2</f>
        <v>7.1499999999999995</v>
      </c>
      <c r="K22" s="108" t="s">
        <v>38</v>
      </c>
    </row>
    <row r="24" spans="3:11" ht="21.6" thickBot="1" x14ac:dyDescent="0.35"/>
    <row r="25" spans="3:11" ht="26.4" thickBot="1" x14ac:dyDescent="0.55000000000000004">
      <c r="C25" s="268" t="s">
        <v>220</v>
      </c>
      <c r="D25" s="269"/>
      <c r="E25" s="269"/>
      <c r="F25" s="269"/>
      <c r="G25" s="269"/>
      <c r="H25" s="269"/>
      <c r="I25" s="269"/>
      <c r="J25" s="269"/>
      <c r="K25" s="270"/>
    </row>
    <row r="26" spans="3:11" ht="39" customHeight="1" thickBot="1" x14ac:dyDescent="0.35">
      <c r="C26" s="82" t="s">
        <v>209</v>
      </c>
      <c r="D26" s="73" t="s">
        <v>210</v>
      </c>
      <c r="E26" s="70" t="s">
        <v>211</v>
      </c>
      <c r="F26" s="71" t="s">
        <v>212</v>
      </c>
      <c r="G26" s="71" t="s">
        <v>213</v>
      </c>
      <c r="H26" s="71" t="s">
        <v>214</v>
      </c>
      <c r="I26" s="71" t="s">
        <v>215</v>
      </c>
      <c r="J26" s="71" t="s">
        <v>216</v>
      </c>
      <c r="K26" s="72" t="s">
        <v>217</v>
      </c>
    </row>
    <row r="27" spans="3:11" ht="47.1" customHeight="1" thickTop="1" x14ac:dyDescent="0.3">
      <c r="C27" s="130">
        <v>1</v>
      </c>
      <c r="D27" s="89" t="s">
        <v>68</v>
      </c>
      <c r="E27" s="90" t="s">
        <v>18</v>
      </c>
      <c r="F27" s="91">
        <v>0.9</v>
      </c>
      <c r="G27" s="92">
        <v>3.3</v>
      </c>
      <c r="H27" s="92">
        <v>9.1</v>
      </c>
      <c r="I27" s="93">
        <v>7.4</v>
      </c>
      <c r="J27" s="87">
        <f>(G27+H27+I27)/3</f>
        <v>6.5999999999999988</v>
      </c>
      <c r="K27" s="94" t="s">
        <v>30</v>
      </c>
    </row>
    <row r="28" spans="3:11" ht="47.1" customHeight="1" x14ac:dyDescent="0.3">
      <c r="C28" s="80">
        <v>2</v>
      </c>
      <c r="D28" s="95" t="s">
        <v>31</v>
      </c>
      <c r="E28" s="96" t="s">
        <v>32</v>
      </c>
      <c r="F28" s="97">
        <v>0.95</v>
      </c>
      <c r="G28" s="98" t="s">
        <v>20</v>
      </c>
      <c r="H28" s="98">
        <v>9</v>
      </c>
      <c r="I28" s="99">
        <v>6.6</v>
      </c>
      <c r="J28" s="87">
        <f>(H28+I28)/2</f>
        <v>7.8</v>
      </c>
      <c r="K28" s="100" t="s">
        <v>34</v>
      </c>
    </row>
    <row r="29" spans="3:11" ht="47.1" customHeight="1" x14ac:dyDescent="0.3">
      <c r="C29" s="80">
        <v>3</v>
      </c>
      <c r="D29" s="89" t="s">
        <v>59</v>
      </c>
      <c r="E29" s="90" t="s">
        <v>60</v>
      </c>
      <c r="F29" s="91">
        <v>1</v>
      </c>
      <c r="G29" s="92">
        <v>5</v>
      </c>
      <c r="H29" s="92">
        <v>8.3000000000000007</v>
      </c>
      <c r="I29" s="93">
        <v>6.2</v>
      </c>
      <c r="J29" s="87">
        <f>(G29+H29+I29)/3</f>
        <v>6.5</v>
      </c>
      <c r="K29" s="94" t="s">
        <v>61</v>
      </c>
    </row>
    <row r="30" spans="3:11" ht="47.1" customHeight="1" x14ac:dyDescent="0.3">
      <c r="C30" s="80">
        <v>4</v>
      </c>
      <c r="D30" s="83" t="s">
        <v>63</v>
      </c>
      <c r="E30" s="84" t="s">
        <v>64</v>
      </c>
      <c r="F30" s="85">
        <v>0.8</v>
      </c>
      <c r="G30" s="86">
        <v>4.2</v>
      </c>
      <c r="H30" s="86" t="s">
        <v>20</v>
      </c>
      <c r="I30" s="101">
        <v>6</v>
      </c>
      <c r="J30" s="87">
        <f>(G30+I30)/2</f>
        <v>5.0999999999999996</v>
      </c>
      <c r="K30" s="88" t="s">
        <v>65</v>
      </c>
    </row>
    <row r="31" spans="3:11" ht="47.1" customHeight="1" x14ac:dyDescent="0.3">
      <c r="C31" s="80">
        <v>5</v>
      </c>
      <c r="D31" s="114" t="s">
        <v>69</v>
      </c>
      <c r="E31" s="109" t="s">
        <v>70</v>
      </c>
      <c r="F31" s="110">
        <v>1</v>
      </c>
      <c r="G31" s="111">
        <v>3.3</v>
      </c>
      <c r="H31" s="111" t="s">
        <v>20</v>
      </c>
      <c r="I31" s="112">
        <v>6</v>
      </c>
      <c r="J31" s="87">
        <f>(G31+I31)/2</f>
        <v>4.6500000000000004</v>
      </c>
      <c r="K31" s="113" t="s">
        <v>57</v>
      </c>
    </row>
    <row r="32" spans="3:11" ht="47.1" customHeight="1" x14ac:dyDescent="0.3">
      <c r="C32" s="80">
        <v>6</v>
      </c>
      <c r="D32" s="83" t="s">
        <v>66</v>
      </c>
      <c r="E32" s="84" t="s">
        <v>67</v>
      </c>
      <c r="F32" s="85">
        <v>0.63</v>
      </c>
      <c r="G32" s="86">
        <v>3.8</v>
      </c>
      <c r="H32" s="86">
        <v>8.8000000000000007</v>
      </c>
      <c r="I32" s="101">
        <v>6</v>
      </c>
      <c r="J32" s="87">
        <f>(G32+H32+I32)/3</f>
        <v>6.2</v>
      </c>
      <c r="K32" s="88" t="s">
        <v>22</v>
      </c>
    </row>
    <row r="33" spans="3:11" ht="47.1" customHeight="1" thickBot="1" x14ac:dyDescent="0.35">
      <c r="C33" s="81">
        <v>7</v>
      </c>
      <c r="D33" s="115" t="s">
        <v>221</v>
      </c>
      <c r="E33" s="116" t="s">
        <v>32</v>
      </c>
      <c r="F33" s="117">
        <v>1</v>
      </c>
      <c r="G33" s="118">
        <v>6.3</v>
      </c>
      <c r="H33" s="118">
        <v>6.8</v>
      </c>
      <c r="I33" s="119">
        <v>6</v>
      </c>
      <c r="J33" s="107">
        <f>(G33+H33+I33)/3</f>
        <v>6.3666666666666671</v>
      </c>
      <c r="K33" s="120" t="s">
        <v>57</v>
      </c>
    </row>
    <row r="35" spans="3:11" ht="21.6" thickBot="1" x14ac:dyDescent="0.35"/>
    <row r="36" spans="3:11" ht="26.4" thickBot="1" x14ac:dyDescent="0.55000000000000004">
      <c r="C36" s="268" t="s">
        <v>222</v>
      </c>
      <c r="D36" s="269"/>
      <c r="E36" s="269"/>
      <c r="F36" s="269"/>
      <c r="G36" s="269"/>
      <c r="H36" s="269"/>
      <c r="I36" s="269"/>
      <c r="J36" s="269"/>
      <c r="K36" s="270"/>
    </row>
    <row r="37" spans="3:11" s="2" customFormat="1" ht="35.1" customHeight="1" thickBot="1" x14ac:dyDescent="0.35">
      <c r="C37" s="78" t="s">
        <v>209</v>
      </c>
      <c r="D37" s="137" t="s">
        <v>210</v>
      </c>
      <c r="E37" s="138" t="s">
        <v>211</v>
      </c>
      <c r="F37" s="139" t="s">
        <v>212</v>
      </c>
      <c r="G37" s="139" t="s">
        <v>213</v>
      </c>
      <c r="H37" s="139" t="s">
        <v>214</v>
      </c>
      <c r="I37" s="139" t="s">
        <v>215</v>
      </c>
      <c r="J37" s="139" t="s">
        <v>216</v>
      </c>
      <c r="K37" s="140" t="s">
        <v>217</v>
      </c>
    </row>
    <row r="38" spans="3:11" s="128" customFormat="1" ht="66" customHeight="1" x14ac:dyDescent="0.3">
      <c r="C38" s="79">
        <v>1</v>
      </c>
      <c r="D38" s="131" t="s">
        <v>53</v>
      </c>
      <c r="E38" s="132" t="s">
        <v>54</v>
      </c>
      <c r="F38" s="133">
        <v>0.56000000000000005</v>
      </c>
      <c r="G38" s="134">
        <v>8.3000000000000007</v>
      </c>
      <c r="H38" s="134">
        <v>8</v>
      </c>
      <c r="I38" s="134" t="s">
        <v>20</v>
      </c>
      <c r="J38" s="135">
        <f>(G38+H38)/2</f>
        <v>8.15</v>
      </c>
      <c r="K38" s="136" t="s">
        <v>22</v>
      </c>
    </row>
    <row r="39" spans="3:11" s="128" customFormat="1" ht="66" customHeight="1" x14ac:dyDescent="0.3">
      <c r="C39" s="80">
        <v>2</v>
      </c>
      <c r="D39" s="121" t="s">
        <v>55</v>
      </c>
      <c r="E39" s="109" t="s">
        <v>56</v>
      </c>
      <c r="F39" s="110">
        <v>1</v>
      </c>
      <c r="G39" s="111">
        <v>7.9</v>
      </c>
      <c r="H39" s="111">
        <v>8.1999999999999993</v>
      </c>
      <c r="I39" s="112">
        <v>4.8</v>
      </c>
      <c r="J39" s="87">
        <f>(G39+H39+I39)/3</f>
        <v>6.9666666666666677</v>
      </c>
      <c r="K39" s="113" t="s">
        <v>57</v>
      </c>
    </row>
    <row r="40" spans="3:11" s="128" customFormat="1" ht="66" customHeight="1" x14ac:dyDescent="0.3">
      <c r="C40" s="80">
        <v>3</v>
      </c>
      <c r="D40" s="114" t="s">
        <v>221</v>
      </c>
      <c r="E40" s="109" t="s">
        <v>32</v>
      </c>
      <c r="F40" s="110">
        <v>1</v>
      </c>
      <c r="G40" s="111">
        <v>6.3</v>
      </c>
      <c r="H40" s="111">
        <v>6.8</v>
      </c>
      <c r="I40" s="112">
        <v>6</v>
      </c>
      <c r="J40" s="87">
        <f>(G40+H40+I40)/3</f>
        <v>6.3666666666666671</v>
      </c>
      <c r="K40" s="113" t="s">
        <v>57</v>
      </c>
    </row>
    <row r="41" spans="3:11" s="128" customFormat="1" ht="66" customHeight="1" thickBot="1" x14ac:dyDescent="0.35">
      <c r="C41" s="80">
        <v>4</v>
      </c>
      <c r="D41" s="122" t="s">
        <v>59</v>
      </c>
      <c r="E41" s="123" t="s">
        <v>60</v>
      </c>
      <c r="F41" s="124">
        <v>1</v>
      </c>
      <c r="G41" s="125">
        <v>5</v>
      </c>
      <c r="H41" s="125">
        <v>8.3000000000000007</v>
      </c>
      <c r="I41" s="126">
        <v>6.2</v>
      </c>
      <c r="J41" s="87">
        <f>(G41+H41+I41)/3</f>
        <v>6.5</v>
      </c>
      <c r="K41" s="127" t="s">
        <v>61</v>
      </c>
    </row>
    <row r="42" spans="3:11" s="128" customFormat="1" ht="66" customHeight="1" thickBot="1" x14ac:dyDescent="0.35">
      <c r="C42" s="81">
        <v>5</v>
      </c>
      <c r="D42" s="122" t="s">
        <v>62</v>
      </c>
      <c r="E42" s="123" t="s">
        <v>60</v>
      </c>
      <c r="F42" s="124">
        <v>1</v>
      </c>
      <c r="G42" s="125">
        <v>4.5999999999999996</v>
      </c>
      <c r="H42" s="125">
        <v>6.8</v>
      </c>
      <c r="I42" s="126">
        <v>4.8</v>
      </c>
      <c r="J42" s="107">
        <f>(G42+H42+I42)/3</f>
        <v>5.3999999999999995</v>
      </c>
      <c r="K42" s="127" t="s">
        <v>61</v>
      </c>
    </row>
    <row r="45" spans="3:11" x14ac:dyDescent="0.3">
      <c r="D45" t="s">
        <v>223</v>
      </c>
    </row>
    <row r="46" spans="3:11" x14ac:dyDescent="0.3">
      <c r="D46" t="s">
        <v>224</v>
      </c>
    </row>
    <row r="47" spans="3:11" x14ac:dyDescent="0.3">
      <c r="D47" t="s">
        <v>31</v>
      </c>
    </row>
    <row r="48" spans="3:11" x14ac:dyDescent="0.3">
      <c r="D48" t="s">
        <v>225</v>
      </c>
    </row>
    <row r="49" spans="3:11" x14ac:dyDescent="0.3">
      <c r="D49" t="s">
        <v>59</v>
      </c>
    </row>
    <row r="50" spans="3:11" x14ac:dyDescent="0.3">
      <c r="D50" t="s">
        <v>226</v>
      </c>
    </row>
    <row r="52" spans="3:11" ht="21.6" thickBot="1" x14ac:dyDescent="0.35"/>
    <row r="53" spans="3:11" ht="21.6" thickBot="1" x14ac:dyDescent="0.35">
      <c r="C53" s="78" t="s">
        <v>209</v>
      </c>
      <c r="D53" s="137" t="s">
        <v>210</v>
      </c>
      <c r="E53" s="138" t="s">
        <v>211</v>
      </c>
      <c r="F53" s="139" t="s">
        <v>212</v>
      </c>
      <c r="G53" s="139" t="s">
        <v>213</v>
      </c>
      <c r="H53" s="139" t="s">
        <v>214</v>
      </c>
      <c r="I53" s="139" t="s">
        <v>215</v>
      </c>
      <c r="J53" s="139" t="s">
        <v>216</v>
      </c>
      <c r="K53" s="140" t="s">
        <v>217</v>
      </c>
    </row>
    <row r="54" spans="3:11" ht="44.1" customHeight="1" x14ac:dyDescent="0.3">
      <c r="C54" s="130">
        <v>1</v>
      </c>
      <c r="D54" s="141" t="s">
        <v>68</v>
      </c>
      <c r="E54" s="142" t="s">
        <v>18</v>
      </c>
      <c r="F54" s="143">
        <v>0.9</v>
      </c>
      <c r="G54" s="144">
        <v>3.3</v>
      </c>
      <c r="H54" s="144">
        <v>9.1</v>
      </c>
      <c r="I54" s="145">
        <v>7.4</v>
      </c>
      <c r="J54" s="146">
        <f>(G54+H54+I54)/3</f>
        <v>6.5999999999999988</v>
      </c>
      <c r="K54" s="147" t="s">
        <v>30</v>
      </c>
    </row>
    <row r="55" spans="3:11" ht="44.1" customHeight="1" x14ac:dyDescent="0.3">
      <c r="C55" s="80">
        <v>2</v>
      </c>
      <c r="D55" s="95" t="s">
        <v>31</v>
      </c>
      <c r="E55" s="96" t="s">
        <v>32</v>
      </c>
      <c r="F55" s="97">
        <v>0.95</v>
      </c>
      <c r="G55" s="98" t="s">
        <v>20</v>
      </c>
      <c r="H55" s="98">
        <v>9</v>
      </c>
      <c r="I55" s="99">
        <v>6.6</v>
      </c>
      <c r="J55" s="87">
        <f>(H55+I55)/2</f>
        <v>7.8</v>
      </c>
      <c r="K55" s="100" t="s">
        <v>34</v>
      </c>
    </row>
    <row r="56" spans="3:11" ht="44.1" customHeight="1" x14ac:dyDescent="0.3">
      <c r="C56" s="80">
        <v>3</v>
      </c>
      <c r="D56" s="83" t="s">
        <v>66</v>
      </c>
      <c r="E56" s="84" t="s">
        <v>67</v>
      </c>
      <c r="F56" s="85">
        <v>0.63</v>
      </c>
      <c r="G56" s="86">
        <v>3.8</v>
      </c>
      <c r="H56" s="86">
        <v>8.8000000000000007</v>
      </c>
      <c r="I56" s="101">
        <v>6</v>
      </c>
      <c r="J56" s="87">
        <f>(G56+H56+I56)/3</f>
        <v>6.2</v>
      </c>
      <c r="K56" s="88" t="s">
        <v>22</v>
      </c>
    </row>
    <row r="57" spans="3:11" ht="44.1" customHeight="1" thickBot="1" x14ac:dyDescent="0.35">
      <c r="C57" s="80">
        <v>4</v>
      </c>
      <c r="D57" s="122" t="s">
        <v>59</v>
      </c>
      <c r="E57" s="123" t="s">
        <v>60</v>
      </c>
      <c r="F57" s="124">
        <v>1</v>
      </c>
      <c r="G57" s="125">
        <v>5</v>
      </c>
      <c r="H57" s="125">
        <v>8.3000000000000007</v>
      </c>
      <c r="I57" s="126">
        <v>6.2</v>
      </c>
      <c r="J57" s="87">
        <f>(G57+H57+I57)/3</f>
        <v>6.5</v>
      </c>
      <c r="K57" s="127" t="s">
        <v>61</v>
      </c>
    </row>
    <row r="58" spans="3:11" ht="44.1" customHeight="1" thickBot="1" x14ac:dyDescent="0.35">
      <c r="C58" s="81">
        <v>5</v>
      </c>
      <c r="D58" s="115" t="s">
        <v>221</v>
      </c>
      <c r="E58" s="116" t="s">
        <v>32</v>
      </c>
      <c r="F58" s="117">
        <v>1</v>
      </c>
      <c r="G58" s="118">
        <v>6.3</v>
      </c>
      <c r="H58" s="118">
        <v>6.8</v>
      </c>
      <c r="I58" s="119">
        <v>6</v>
      </c>
      <c r="J58" s="107">
        <f>(G58+H58+I58)/3</f>
        <v>6.3666666666666671</v>
      </c>
      <c r="K58" s="120" t="s">
        <v>57</v>
      </c>
    </row>
  </sheetData>
  <mergeCells count="4">
    <mergeCell ref="C6:K6"/>
    <mergeCell ref="C16:K16"/>
    <mergeCell ref="C25:K25"/>
    <mergeCell ref="C36:K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3258CBD0933478BBE9EE135D7AF49" ma:contentTypeVersion="10" ma:contentTypeDescription="Create a new document." ma:contentTypeScope="" ma:versionID="85560b97cbbeaf00abe6dbc1d4d7e759">
  <xsd:schema xmlns:xsd="http://www.w3.org/2001/XMLSchema" xmlns:xs="http://www.w3.org/2001/XMLSchema" xmlns:p="http://schemas.microsoft.com/office/2006/metadata/properties" xmlns:ns2="f91947dd-59bc-4239-bdc8-063ccdfd257d" xmlns:ns3="d8ea2649-bc4f-4140-9dcb-edf3741bd8d1" targetNamespace="http://schemas.microsoft.com/office/2006/metadata/properties" ma:root="true" ma:fieldsID="0b555ea693f508d1b4185b3ee8931f43" ns2:_="" ns3:_="">
    <xsd:import namespace="f91947dd-59bc-4239-bdc8-063ccdfd257d"/>
    <xsd:import namespace="d8ea2649-bc4f-4140-9dcb-edf3741bd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947dd-59bc-4239-bdc8-063ccdfd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2d5819-fa92-4146-8482-628d6d3d4c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a2649-bc4f-4140-9dcb-edf3741bd8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2be8-8aba-487b-9c56-2162d6e9b711}" ma:internalName="TaxCatchAll" ma:showField="CatchAllData" ma:web="d8ea2649-bc4f-4140-9dcb-edf3741bd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ea2649-bc4f-4140-9dcb-edf3741bd8d1" xsi:nil="true"/>
    <lcf76f155ced4ddcb4097134ff3c332f xmlns="f91947dd-59bc-4239-bdc8-063ccdfd25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4B869-461F-4E8A-8044-D30242568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1947dd-59bc-4239-bdc8-063ccdfd257d"/>
    <ds:schemaRef ds:uri="d8ea2649-bc4f-4140-9dcb-edf3741bd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752D21-CF85-4607-9BAF-546DD2882B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42D8F1-09DB-4DDC-AB88-1342B99214D4}">
  <ds:schemaRefs>
    <ds:schemaRef ds:uri="http://schemas.microsoft.com/office/2006/metadata/properties"/>
    <ds:schemaRef ds:uri="http://schemas.microsoft.com/office/infopath/2007/PartnerControls"/>
    <ds:schemaRef ds:uri="d8ea2649-bc4f-4140-9dcb-edf3741bd8d1"/>
    <ds:schemaRef ds:uri="f91947dd-59bc-4239-bdc8-063ccdfd25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Script Grading</vt:lpstr>
      <vt:lpstr>TOP 5 individual 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Younus</dc:creator>
  <cp:keywords/>
  <dc:description/>
  <cp:lastModifiedBy>Hamza</cp:lastModifiedBy>
  <cp:revision/>
  <dcterms:created xsi:type="dcterms:W3CDTF">2015-06-05T18:17:20Z</dcterms:created>
  <dcterms:modified xsi:type="dcterms:W3CDTF">2025-11-15T12:57:03Z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0x010100D563258CBD0933478BBE9EE135D7AF49</vt:lpwstr>
  </property>
  <property fmtid="{D5CDD505-2E9C-101B-9397-08002B2CF9AE}" pid="3" name="MediaServiceImageTags">
    <vt:lpwstr/>
  </property>
</Properties>
</file>